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Buku_Kerja_Ini"/>
  <mc:AlternateContent xmlns:mc="http://schemas.openxmlformats.org/markup-compatibility/2006">
    <mc:Choice Requires="x15">
      <x15ac:absPath xmlns:x15ac="http://schemas.microsoft.com/office/spreadsheetml/2010/11/ac" url="C:\Users\USER\Documents\Insyaallah Tesis Sulaeman\"/>
    </mc:Choice>
  </mc:AlternateContent>
  <xr:revisionPtr revIDLastSave="0" documentId="13_ncr:1_{A1E988B6-73A1-4A8C-949B-6839496F2B57}" xr6:coauthVersionLast="47" xr6:coauthVersionMax="47" xr10:uidLastSave="{00000000-0000-0000-0000-000000000000}"/>
  <bookViews>
    <workbookView xWindow="-120" yWindow="-120" windowWidth="26640" windowHeight="14370" firstSheet="1" activeTab="3" xr2:uid="{00000000-000D-0000-FFFF-FFFF00000000}"/>
  </bookViews>
  <sheets>
    <sheet name="Alat Portabel" sheetId="1" r:id="rId1"/>
    <sheet name="Kadar Air Portabel" sheetId="11" r:id="rId2"/>
    <sheet name="pH" sheetId="5" r:id="rId3"/>
    <sheet name="N" sheetId="6" r:id="rId4"/>
    <sheet name="P" sheetId="7" r:id="rId5"/>
    <sheet name="K" sheetId="8" r:id="rId6"/>
    <sheet name="Tekstur" sheetId="12" r:id="rId7"/>
    <sheet name="C-organik" sheetId="13" r:id="rId8"/>
  </sheets>
  <calcPr calcId="191029"/>
</workbook>
</file>

<file path=xl/calcChain.xml><?xml version="1.0" encoding="utf-8"?>
<calcChain xmlns="http://schemas.openxmlformats.org/spreadsheetml/2006/main">
  <c r="P8" i="6" l="1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7" i="6"/>
  <c r="E41" i="1"/>
  <c r="E36" i="1"/>
  <c r="E31" i="1"/>
  <c r="S41" i="13"/>
  <c r="N41" i="13"/>
  <c r="L41" i="13"/>
  <c r="T41" i="13" s="1"/>
  <c r="S40" i="13"/>
  <c r="N40" i="13"/>
  <c r="L40" i="13"/>
  <c r="S39" i="13"/>
  <c r="N39" i="13"/>
  <c r="L39" i="13"/>
  <c r="T39" i="13" s="1"/>
  <c r="S38" i="13"/>
  <c r="N38" i="13"/>
  <c r="L38" i="13"/>
  <c r="S37" i="13"/>
  <c r="N37" i="13"/>
  <c r="L37" i="13"/>
  <c r="T37" i="13" s="1"/>
  <c r="S36" i="13"/>
  <c r="N36" i="13"/>
  <c r="L36" i="13"/>
  <c r="S35" i="13"/>
  <c r="N35" i="13"/>
  <c r="L35" i="13"/>
  <c r="T35" i="13" s="1"/>
  <c r="S34" i="13"/>
  <c r="N34" i="13"/>
  <c r="L34" i="13"/>
  <c r="S33" i="13"/>
  <c r="N33" i="13"/>
  <c r="L33" i="13"/>
  <c r="T33" i="13" s="1"/>
  <c r="S32" i="13"/>
  <c r="N32" i="13"/>
  <c r="L32" i="13"/>
  <c r="S31" i="13"/>
  <c r="N31" i="13"/>
  <c r="L31" i="13"/>
  <c r="T31" i="13" s="1"/>
  <c r="S30" i="13"/>
  <c r="N30" i="13"/>
  <c r="L30" i="13"/>
  <c r="S29" i="13"/>
  <c r="N29" i="13"/>
  <c r="L29" i="13"/>
  <c r="T29" i="13" s="1"/>
  <c r="S28" i="13"/>
  <c r="N28" i="13"/>
  <c r="L28" i="13"/>
  <c r="S27" i="13"/>
  <c r="N27" i="13"/>
  <c r="L27" i="13"/>
  <c r="T27" i="13" s="1"/>
  <c r="S26" i="13"/>
  <c r="N26" i="13"/>
  <c r="L26" i="13"/>
  <c r="S25" i="13"/>
  <c r="N25" i="13"/>
  <c r="L25" i="13"/>
  <c r="T25" i="13" s="1"/>
  <c r="S24" i="13"/>
  <c r="N24" i="13"/>
  <c r="L24" i="13"/>
  <c r="S23" i="13"/>
  <c r="N23" i="13"/>
  <c r="L23" i="13"/>
  <c r="T23" i="13" s="1"/>
  <c r="S22" i="13"/>
  <c r="N22" i="13"/>
  <c r="L22" i="13"/>
  <c r="S21" i="13"/>
  <c r="N21" i="13"/>
  <c r="L21" i="13"/>
  <c r="T21" i="13" s="1"/>
  <c r="S20" i="13"/>
  <c r="N20" i="13"/>
  <c r="L20" i="13"/>
  <c r="S18" i="13"/>
  <c r="N18" i="13"/>
  <c r="L18" i="13"/>
  <c r="T18" i="13" s="1"/>
  <c r="S17" i="13"/>
  <c r="N17" i="13"/>
  <c r="L17" i="13"/>
  <c r="S16" i="13"/>
  <c r="N16" i="13"/>
  <c r="L16" i="13"/>
  <c r="T16" i="13" s="1"/>
  <c r="S15" i="13"/>
  <c r="N15" i="13"/>
  <c r="L15" i="13"/>
  <c r="S14" i="13"/>
  <c r="N14" i="13"/>
  <c r="L14" i="13"/>
  <c r="T14" i="13" s="1"/>
  <c r="S13" i="13"/>
  <c r="N13" i="13"/>
  <c r="L13" i="13"/>
  <c r="S12" i="13"/>
  <c r="N12" i="13"/>
  <c r="L12" i="13"/>
  <c r="T12" i="13" s="1"/>
  <c r="S11" i="13"/>
  <c r="N11" i="13"/>
  <c r="L11" i="13"/>
  <c r="S10" i="13"/>
  <c r="N10" i="13"/>
  <c r="L10" i="13"/>
  <c r="T10" i="13" s="1"/>
  <c r="S9" i="13"/>
  <c r="N9" i="13"/>
  <c r="L9" i="13"/>
  <c r="S8" i="13"/>
  <c r="N8" i="13"/>
  <c r="L8" i="13"/>
  <c r="T8" i="13" s="1"/>
  <c r="S7" i="13"/>
  <c r="N7" i="13"/>
  <c r="L7" i="13"/>
  <c r="L6" i="13"/>
  <c r="R40" i="12"/>
  <c r="N40" i="12"/>
  <c r="J40" i="12"/>
  <c r="R39" i="12"/>
  <c r="N39" i="12"/>
  <c r="J39" i="12"/>
  <c r="R38" i="12"/>
  <c r="N38" i="12"/>
  <c r="J38" i="12"/>
  <c r="R37" i="12"/>
  <c r="N37" i="12"/>
  <c r="J37" i="12"/>
  <c r="R36" i="12"/>
  <c r="N36" i="12"/>
  <c r="J36" i="12"/>
  <c r="R35" i="12"/>
  <c r="N35" i="12"/>
  <c r="J35" i="12"/>
  <c r="R34" i="12"/>
  <c r="N34" i="12"/>
  <c r="J34" i="12"/>
  <c r="R33" i="12"/>
  <c r="N33" i="12"/>
  <c r="J33" i="12"/>
  <c r="R32" i="12"/>
  <c r="N32" i="12"/>
  <c r="J32" i="12"/>
  <c r="R31" i="12"/>
  <c r="N31" i="12"/>
  <c r="J31" i="12"/>
  <c r="R30" i="12"/>
  <c r="N30" i="12"/>
  <c r="J30" i="12"/>
  <c r="R29" i="12"/>
  <c r="N29" i="12"/>
  <c r="J29" i="12"/>
  <c r="R28" i="12"/>
  <c r="N28" i="12"/>
  <c r="J28" i="12"/>
  <c r="R27" i="12"/>
  <c r="N27" i="12"/>
  <c r="J27" i="12"/>
  <c r="R26" i="12"/>
  <c r="N26" i="12"/>
  <c r="J26" i="12"/>
  <c r="R25" i="12"/>
  <c r="N25" i="12"/>
  <c r="J25" i="12"/>
  <c r="R24" i="12"/>
  <c r="N24" i="12"/>
  <c r="J24" i="12"/>
  <c r="R23" i="12"/>
  <c r="N23" i="12"/>
  <c r="J23" i="12"/>
  <c r="R22" i="12"/>
  <c r="N22" i="12"/>
  <c r="J22" i="12"/>
  <c r="R21" i="12"/>
  <c r="N21" i="12"/>
  <c r="J21" i="12"/>
  <c r="R20" i="12"/>
  <c r="N20" i="12"/>
  <c r="J20" i="12"/>
  <c r="R19" i="12"/>
  <c r="N19" i="12"/>
  <c r="J19" i="12"/>
  <c r="R18" i="12"/>
  <c r="N18" i="12"/>
  <c r="J18" i="12"/>
  <c r="R17" i="12"/>
  <c r="N17" i="12"/>
  <c r="J17" i="12"/>
  <c r="R16" i="12"/>
  <c r="N16" i="12"/>
  <c r="J16" i="12"/>
  <c r="R15" i="12"/>
  <c r="N15" i="12"/>
  <c r="J15" i="12"/>
  <c r="R14" i="12"/>
  <c r="N14" i="12"/>
  <c r="J14" i="12"/>
  <c r="R13" i="12"/>
  <c r="N13" i="12"/>
  <c r="J13" i="12"/>
  <c r="R12" i="12"/>
  <c r="N12" i="12"/>
  <c r="J12" i="12"/>
  <c r="R11" i="12"/>
  <c r="N11" i="12"/>
  <c r="J11" i="12"/>
  <c r="R10" i="12"/>
  <c r="N10" i="12"/>
  <c r="J10" i="12"/>
  <c r="R9" i="12"/>
  <c r="N9" i="12"/>
  <c r="J9" i="12"/>
  <c r="R8" i="12"/>
  <c r="N8" i="12"/>
  <c r="J8" i="12"/>
  <c r="R7" i="12"/>
  <c r="N7" i="12"/>
  <c r="J7" i="12"/>
  <c r="R6" i="12"/>
  <c r="N6" i="12"/>
  <c r="J6" i="12"/>
  <c r="T7" i="13" l="1"/>
  <c r="T9" i="13"/>
  <c r="T11" i="13"/>
  <c r="T13" i="13"/>
  <c r="T15" i="13"/>
  <c r="T17" i="13"/>
  <c r="T20" i="13"/>
  <c r="T22" i="13"/>
  <c r="T24" i="13"/>
  <c r="T26" i="13"/>
  <c r="T28" i="13"/>
  <c r="T30" i="13"/>
  <c r="T32" i="13"/>
  <c r="T34" i="13"/>
  <c r="T36" i="13"/>
  <c r="T38" i="13"/>
  <c r="T40" i="13"/>
  <c r="U10" i="12"/>
  <c r="O10" i="12" s="1"/>
  <c r="U16" i="12"/>
  <c r="S16" i="12" s="1"/>
  <c r="U40" i="12"/>
  <c r="K40" i="12" s="1"/>
  <c r="U22" i="12"/>
  <c r="S22" i="12" s="1"/>
  <c r="U34" i="12"/>
  <c r="K34" i="12" s="1"/>
  <c r="U28" i="12"/>
  <c r="S28" i="12" s="1"/>
  <c r="U37" i="12"/>
  <c r="K37" i="12" s="1"/>
  <c r="U31" i="12"/>
  <c r="S31" i="12" s="1"/>
  <c r="U7" i="12"/>
  <c r="S7" i="12" s="1"/>
  <c r="U13" i="12"/>
  <c r="K13" i="12" s="1"/>
  <c r="U19" i="12"/>
  <c r="K19" i="12" s="1"/>
  <c r="U25" i="12"/>
  <c r="K25" i="12" s="1"/>
  <c r="K10" i="12"/>
  <c r="K16" i="12"/>
  <c r="S37" i="12"/>
  <c r="S10" i="12"/>
  <c r="U8" i="12"/>
  <c r="K8" i="12" s="1"/>
  <c r="U11" i="12"/>
  <c r="K11" i="12" s="1"/>
  <c r="U14" i="12"/>
  <c r="S14" i="12" s="1"/>
  <c r="U17" i="12"/>
  <c r="O17" i="12" s="1"/>
  <c r="U20" i="12"/>
  <c r="K20" i="12" s="1"/>
  <c r="U23" i="12"/>
  <c r="S23" i="12" s="1"/>
  <c r="U26" i="12"/>
  <c r="O26" i="12" s="1"/>
  <c r="U29" i="12"/>
  <c r="K29" i="12" s="1"/>
  <c r="U32" i="12"/>
  <c r="S32" i="12" s="1"/>
  <c r="U35" i="12"/>
  <c r="O35" i="12" s="1"/>
  <c r="O37" i="12"/>
  <c r="U38" i="12"/>
  <c r="K38" i="12" s="1"/>
  <c r="U6" i="12"/>
  <c r="O6" i="12" s="1"/>
  <c r="U9" i="12"/>
  <c r="S9" i="12" s="1"/>
  <c r="U12" i="12"/>
  <c r="O12" i="12" s="1"/>
  <c r="U15" i="12"/>
  <c r="O15" i="12" s="1"/>
  <c r="U18" i="12"/>
  <c r="K18" i="12" s="1"/>
  <c r="U21" i="12"/>
  <c r="S21" i="12" s="1"/>
  <c r="U24" i="12"/>
  <c r="K24" i="12" s="1"/>
  <c r="U27" i="12"/>
  <c r="K27" i="12" s="1"/>
  <c r="U30" i="12"/>
  <c r="S30" i="12" s="1"/>
  <c r="U33" i="12"/>
  <c r="O33" i="12" s="1"/>
  <c r="U36" i="12"/>
  <c r="K36" i="12" s="1"/>
  <c r="U39" i="12"/>
  <c r="O39" i="12" s="1"/>
  <c r="O34" i="12" l="1"/>
  <c r="O22" i="12"/>
  <c r="S26" i="12"/>
  <c r="O25" i="12"/>
  <c r="T25" i="12" s="1"/>
  <c r="T10" i="12"/>
  <c r="S25" i="12"/>
  <c r="S19" i="12"/>
  <c r="O16" i="12"/>
  <c r="K22" i="12"/>
  <c r="T22" i="12" s="1"/>
  <c r="K26" i="12"/>
  <c r="T26" i="12" s="1"/>
  <c r="K28" i="12"/>
  <c r="O40" i="12"/>
  <c r="O19" i="12"/>
  <c r="T19" i="12" s="1"/>
  <c r="S40" i="12"/>
  <c r="T16" i="12"/>
  <c r="S34" i="12"/>
  <c r="T34" i="12" s="1"/>
  <c r="K7" i="12"/>
  <c r="T7" i="12" s="1"/>
  <c r="O28" i="12"/>
  <c r="O7" i="12"/>
  <c r="O31" i="12"/>
  <c r="O13" i="12"/>
  <c r="S12" i="12"/>
  <c r="K17" i="12"/>
  <c r="S13" i="12"/>
  <c r="K31" i="12"/>
  <c r="K14" i="12"/>
  <c r="T37" i="12"/>
  <c r="O32" i="12"/>
  <c r="S24" i="12"/>
  <c r="O14" i="12"/>
  <c r="O30" i="12"/>
  <c r="O8" i="12"/>
  <c r="K15" i="12"/>
  <c r="K32" i="12"/>
  <c r="K12" i="12"/>
  <c r="O29" i="12"/>
  <c r="O11" i="12"/>
  <c r="S20" i="12"/>
  <c r="S8" i="12"/>
  <c r="K9" i="12"/>
  <c r="K30" i="12"/>
  <c r="K6" i="12"/>
  <c r="S29" i="12"/>
  <c r="S17" i="12"/>
  <c r="O27" i="12"/>
  <c r="O9" i="12"/>
  <c r="S18" i="12"/>
  <c r="S6" i="12"/>
  <c r="O24" i="12"/>
  <c r="K33" i="12"/>
  <c r="K35" i="12"/>
  <c r="S39" i="12"/>
  <c r="S27" i="12"/>
  <c r="S15" i="12"/>
  <c r="O23" i="12"/>
  <c r="K39" i="12"/>
  <c r="O38" i="12"/>
  <c r="O20" i="12"/>
  <c r="O21" i="12"/>
  <c r="S38" i="12"/>
  <c r="O36" i="12"/>
  <c r="O18" i="12"/>
  <c r="K21" i="12"/>
  <c r="K23" i="12"/>
  <c r="S35" i="12"/>
  <c r="S11" i="12"/>
  <c r="S36" i="12"/>
  <c r="S33" i="12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5" i="7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6" i="8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4" i="11"/>
  <c r="T11" i="12" l="1"/>
  <c r="T28" i="12"/>
  <c r="T40" i="12"/>
  <c r="T31" i="12"/>
  <c r="T20" i="12"/>
  <c r="T32" i="12"/>
  <c r="T24" i="12"/>
  <c r="T17" i="12"/>
  <c r="T14" i="12"/>
  <c r="T13" i="12"/>
  <c r="T29" i="12"/>
  <c r="T23" i="12"/>
  <c r="T30" i="12"/>
  <c r="T12" i="12"/>
  <c r="T18" i="12"/>
  <c r="T38" i="12"/>
  <c r="T35" i="12"/>
  <c r="T27" i="12"/>
  <c r="T15" i="12"/>
  <c r="T36" i="12"/>
  <c r="T39" i="12"/>
  <c r="T8" i="12"/>
  <c r="T33" i="12"/>
  <c r="T6" i="12"/>
  <c r="T21" i="12"/>
  <c r="T9" i="12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5" i="5"/>
  <c r="U11" i="1"/>
  <c r="U16" i="1"/>
  <c r="U21" i="1"/>
  <c r="U26" i="1"/>
  <c r="U31" i="1"/>
  <c r="U36" i="1"/>
  <c r="U41" i="1"/>
  <c r="U46" i="1"/>
  <c r="U51" i="1"/>
  <c r="U56" i="1"/>
  <c r="U61" i="1"/>
  <c r="U66" i="1"/>
  <c r="U71" i="1"/>
  <c r="U76" i="1"/>
  <c r="U81" i="1"/>
  <c r="U86" i="1"/>
  <c r="U91" i="1"/>
  <c r="U96" i="1"/>
  <c r="U101" i="1"/>
  <c r="U106" i="1"/>
  <c r="U111" i="1"/>
  <c r="U116" i="1"/>
  <c r="U121" i="1"/>
  <c r="U126" i="1"/>
  <c r="U131" i="1"/>
  <c r="U136" i="1"/>
  <c r="U141" i="1"/>
  <c r="U146" i="1"/>
  <c r="U151" i="1"/>
  <c r="U156" i="1"/>
  <c r="U161" i="1"/>
  <c r="U166" i="1"/>
  <c r="U171" i="1"/>
  <c r="U176" i="1"/>
  <c r="U6" i="1"/>
  <c r="S11" i="1"/>
  <c r="S16" i="1"/>
  <c r="S21" i="1"/>
  <c r="S26" i="1"/>
  <c r="S31" i="1"/>
  <c r="S36" i="1"/>
  <c r="S41" i="1"/>
  <c r="S46" i="1"/>
  <c r="S51" i="1"/>
  <c r="S56" i="1"/>
  <c r="S61" i="1"/>
  <c r="S66" i="1"/>
  <c r="S71" i="1"/>
  <c r="S76" i="1"/>
  <c r="S81" i="1"/>
  <c r="S86" i="1"/>
  <c r="S91" i="1"/>
  <c r="S96" i="1"/>
  <c r="S101" i="1"/>
  <c r="S106" i="1"/>
  <c r="S111" i="1"/>
  <c r="S116" i="1"/>
  <c r="S121" i="1"/>
  <c r="S126" i="1"/>
  <c r="S131" i="1"/>
  <c r="S136" i="1"/>
  <c r="S141" i="1"/>
  <c r="S146" i="1"/>
  <c r="S151" i="1"/>
  <c r="S156" i="1"/>
  <c r="S161" i="1"/>
  <c r="S166" i="1"/>
  <c r="S171" i="1"/>
  <c r="S176" i="1"/>
  <c r="S6" i="1"/>
  <c r="Q11" i="1"/>
  <c r="Q16" i="1"/>
  <c r="Q21" i="1"/>
  <c r="Q26" i="1"/>
  <c r="Q31" i="1"/>
  <c r="Q36" i="1"/>
  <c r="Q41" i="1"/>
  <c r="Q46" i="1"/>
  <c r="Q51" i="1"/>
  <c r="Q56" i="1"/>
  <c r="Q61" i="1"/>
  <c r="Q66" i="1"/>
  <c r="Q71" i="1"/>
  <c r="Q76" i="1"/>
  <c r="Q81" i="1"/>
  <c r="Q86" i="1"/>
  <c r="Q91" i="1"/>
  <c r="Q96" i="1"/>
  <c r="Q101" i="1"/>
  <c r="Q106" i="1"/>
  <c r="Q111" i="1"/>
  <c r="Q116" i="1"/>
  <c r="Q121" i="1"/>
  <c r="Q126" i="1"/>
  <c r="Q131" i="1"/>
  <c r="Q136" i="1"/>
  <c r="Q141" i="1"/>
  <c r="Q146" i="1"/>
  <c r="Q151" i="1"/>
  <c r="Q156" i="1"/>
  <c r="Q161" i="1"/>
  <c r="Q166" i="1"/>
  <c r="Q171" i="1"/>
  <c r="Q176" i="1"/>
  <c r="Q6" i="1"/>
  <c r="O11" i="1"/>
  <c r="O16" i="1"/>
  <c r="O21" i="1"/>
  <c r="O26" i="1"/>
  <c r="O31" i="1"/>
  <c r="O36" i="1"/>
  <c r="O41" i="1"/>
  <c r="O46" i="1"/>
  <c r="O51" i="1"/>
  <c r="O56" i="1"/>
  <c r="O61" i="1"/>
  <c r="O66" i="1"/>
  <c r="O71" i="1"/>
  <c r="O76" i="1"/>
  <c r="O81" i="1"/>
  <c r="O86" i="1"/>
  <c r="O91" i="1"/>
  <c r="O96" i="1"/>
  <c r="O101" i="1"/>
  <c r="O106" i="1"/>
  <c r="O111" i="1"/>
  <c r="O116" i="1"/>
  <c r="O121" i="1"/>
  <c r="O126" i="1"/>
  <c r="O131" i="1"/>
  <c r="O136" i="1"/>
  <c r="O141" i="1"/>
  <c r="O146" i="1"/>
  <c r="O151" i="1"/>
  <c r="O156" i="1"/>
  <c r="O161" i="1"/>
  <c r="O166" i="1"/>
  <c r="O171" i="1"/>
  <c r="O176" i="1"/>
  <c r="O6" i="1"/>
  <c r="M11" i="1"/>
  <c r="M16" i="1"/>
  <c r="M21" i="1"/>
  <c r="M26" i="1"/>
  <c r="M31" i="1"/>
  <c r="M36" i="1"/>
  <c r="M41" i="1"/>
  <c r="M46" i="1"/>
  <c r="M51" i="1"/>
  <c r="M56" i="1"/>
  <c r="M61" i="1"/>
  <c r="M66" i="1"/>
  <c r="M71" i="1"/>
  <c r="M76" i="1"/>
  <c r="M81" i="1"/>
  <c r="M86" i="1"/>
  <c r="M91" i="1"/>
  <c r="M96" i="1"/>
  <c r="M101" i="1"/>
  <c r="M106" i="1"/>
  <c r="M111" i="1"/>
  <c r="M116" i="1"/>
  <c r="M121" i="1"/>
  <c r="M126" i="1"/>
  <c r="M131" i="1"/>
  <c r="M136" i="1"/>
  <c r="M141" i="1"/>
  <c r="M146" i="1"/>
  <c r="M151" i="1"/>
  <c r="M156" i="1"/>
  <c r="M161" i="1"/>
  <c r="M166" i="1"/>
  <c r="M171" i="1"/>
  <c r="M176" i="1"/>
  <c r="M6" i="1"/>
  <c r="K11" i="1"/>
  <c r="K16" i="1"/>
  <c r="K21" i="1"/>
  <c r="K26" i="1"/>
  <c r="K31" i="1"/>
  <c r="K36" i="1"/>
  <c r="K41" i="1"/>
  <c r="K46" i="1"/>
  <c r="K51" i="1"/>
  <c r="K56" i="1"/>
  <c r="K61" i="1"/>
  <c r="K66" i="1"/>
  <c r="K71" i="1"/>
  <c r="K76" i="1"/>
  <c r="K81" i="1"/>
  <c r="K86" i="1"/>
  <c r="K91" i="1"/>
  <c r="K96" i="1"/>
  <c r="K101" i="1"/>
  <c r="K106" i="1"/>
  <c r="K111" i="1"/>
  <c r="K116" i="1"/>
  <c r="K121" i="1"/>
  <c r="K126" i="1"/>
  <c r="K131" i="1"/>
  <c r="K136" i="1"/>
  <c r="K141" i="1"/>
  <c r="K146" i="1"/>
  <c r="K151" i="1"/>
  <c r="K156" i="1"/>
  <c r="K161" i="1"/>
  <c r="K166" i="1"/>
  <c r="K171" i="1"/>
  <c r="K176" i="1"/>
  <c r="K6" i="1"/>
  <c r="I11" i="1"/>
  <c r="I16" i="1"/>
  <c r="I21" i="1"/>
  <c r="I26" i="1"/>
  <c r="I31" i="1"/>
  <c r="I36" i="1"/>
  <c r="I41" i="1"/>
  <c r="I46" i="1"/>
  <c r="I51" i="1"/>
  <c r="I56" i="1"/>
  <c r="I61" i="1"/>
  <c r="I66" i="1"/>
  <c r="I71" i="1"/>
  <c r="I76" i="1"/>
  <c r="I81" i="1"/>
  <c r="I86" i="1"/>
  <c r="I91" i="1"/>
  <c r="I96" i="1"/>
  <c r="I101" i="1"/>
  <c r="I106" i="1"/>
  <c r="I111" i="1"/>
  <c r="I116" i="1"/>
  <c r="I121" i="1"/>
  <c r="I126" i="1"/>
  <c r="I131" i="1"/>
  <c r="I136" i="1"/>
  <c r="I141" i="1"/>
  <c r="I146" i="1"/>
  <c r="I151" i="1"/>
  <c r="I156" i="1"/>
  <c r="I161" i="1"/>
  <c r="I166" i="1"/>
  <c r="I171" i="1"/>
  <c r="I176" i="1"/>
  <c r="I6" i="1"/>
  <c r="G11" i="1"/>
  <c r="G16" i="1"/>
  <c r="G21" i="1"/>
  <c r="G26" i="1"/>
  <c r="G31" i="1"/>
  <c r="G36" i="1"/>
  <c r="G41" i="1"/>
  <c r="G46" i="1"/>
  <c r="G51" i="1"/>
  <c r="G56" i="1"/>
  <c r="G61" i="1"/>
  <c r="G66" i="1"/>
  <c r="G71" i="1"/>
  <c r="G76" i="1"/>
  <c r="G81" i="1"/>
  <c r="G86" i="1"/>
  <c r="G91" i="1"/>
  <c r="G96" i="1"/>
  <c r="G101" i="1"/>
  <c r="G106" i="1"/>
  <c r="G111" i="1"/>
  <c r="G116" i="1"/>
  <c r="G121" i="1"/>
  <c r="G126" i="1"/>
  <c r="G131" i="1"/>
  <c r="G136" i="1"/>
  <c r="G141" i="1"/>
  <c r="G146" i="1"/>
  <c r="G151" i="1"/>
  <c r="G156" i="1"/>
  <c r="G161" i="1"/>
  <c r="G166" i="1"/>
  <c r="G171" i="1"/>
  <c r="G176" i="1"/>
  <c r="G6" i="1"/>
  <c r="E11" i="1"/>
  <c r="E16" i="1"/>
  <c r="E21" i="1"/>
  <c r="E26" i="1"/>
  <c r="E46" i="1"/>
  <c r="E51" i="1"/>
  <c r="E56" i="1"/>
  <c r="E61" i="1"/>
  <c r="E66" i="1"/>
  <c r="E71" i="1"/>
  <c r="E76" i="1"/>
  <c r="E81" i="1"/>
  <c r="E86" i="1"/>
  <c r="E91" i="1"/>
  <c r="E96" i="1"/>
  <c r="E101" i="1"/>
  <c r="E106" i="1"/>
  <c r="E111" i="1"/>
  <c r="E116" i="1"/>
  <c r="E121" i="1"/>
  <c r="E126" i="1"/>
  <c r="E131" i="1"/>
  <c r="E136" i="1"/>
  <c r="E141" i="1"/>
  <c r="E146" i="1"/>
  <c r="E151" i="1"/>
  <c r="E156" i="1"/>
  <c r="E161" i="1"/>
  <c r="E166" i="1"/>
  <c r="E171" i="1"/>
  <c r="E176" i="1"/>
  <c r="E6" i="1"/>
</calcChain>
</file>

<file path=xl/sharedStrings.xml><?xml version="1.0" encoding="utf-8"?>
<sst xmlns="http://schemas.openxmlformats.org/spreadsheetml/2006/main" count="787" uniqueCount="196">
  <si>
    <t>DATA SAMPEL LAPANGAN</t>
  </si>
  <si>
    <t>Nomor Sampel/
Penggunaan lahan</t>
  </si>
  <si>
    <t>Ulangan</t>
  </si>
  <si>
    <t>pH</t>
  </si>
  <si>
    <t>N</t>
  </si>
  <si>
    <t>P</t>
  </si>
  <si>
    <t>K</t>
  </si>
  <si>
    <t>SPT32.1 (Jagung)</t>
  </si>
  <si>
    <t>SPT32.2 ( Ubi Ungu)</t>
  </si>
  <si>
    <t>SPT32.3 (Singkong)</t>
  </si>
  <si>
    <t>Hasil Analisis Alat Portabel 1</t>
  </si>
  <si>
    <t>Hasil Analisis Alat Portabel 2</t>
  </si>
  <si>
    <t>Hasil Analisis Alat Portabel 3</t>
  </si>
  <si>
    <t>SPT 7.1 (Jagung, Tomat)</t>
  </si>
  <si>
    <t>SPT 7.2 (Rumput Odot)</t>
  </si>
  <si>
    <t>SPT 7.3 (Kopi, Durian)</t>
  </si>
  <si>
    <t>SPT 7.4 (Kebun Sawit)</t>
  </si>
  <si>
    <t>SPT 7.5 (Hutan Sekunder)</t>
  </si>
  <si>
    <t>SPT 38.1 (Kebun Belimbing)</t>
  </si>
  <si>
    <t>SPT 41.1 (Bengkoang)</t>
  </si>
  <si>
    <t>SPT 41.2 (Ubi Jalar)</t>
  </si>
  <si>
    <t>SPT 41.3 (Jambu Kristal)</t>
  </si>
  <si>
    <t>SPT 41.4 (Jagung)</t>
  </si>
  <si>
    <t>SPT 41.5 (Kebun Durian)</t>
  </si>
  <si>
    <t>SPT 36.5 (Terong, Pepaya, Cabai, Jeruk, Pisang)</t>
  </si>
  <si>
    <t>SPT 36.1 (Kebun Jati)</t>
  </si>
  <si>
    <t>SPT 36.2 (Ubi Jalar)</t>
  </si>
  <si>
    <t>SPT 36.3 (Jagung)</t>
  </si>
  <si>
    <t>SPT 36.4 (Terong)</t>
  </si>
  <si>
    <t>Kelembaban</t>
  </si>
  <si>
    <t>No</t>
  </si>
  <si>
    <t>SPT 1.1 (Ubi Jalar)</t>
  </si>
  <si>
    <t>SPT 1.3 (Lahan Terbuka)</t>
  </si>
  <si>
    <t>SPT 1.4 (Padi)</t>
  </si>
  <si>
    <t>SPT 1.5 (Singkong, Pisang, Gamal)</t>
  </si>
  <si>
    <t>SPT 38.3 (Jagung)</t>
  </si>
  <si>
    <t>SPT 38.2 (Cabai)</t>
  </si>
  <si>
    <t>SPT 38.4 (Singkong)</t>
  </si>
  <si>
    <t>SPT 37.1 (Ubi Jalar)</t>
  </si>
  <si>
    <t>SPT 37.2 (Jagung)</t>
  </si>
  <si>
    <t>SPT 37.4 (Padi Sawah)</t>
  </si>
  <si>
    <t>SPT 37.5 (Singkong)</t>
  </si>
  <si>
    <t>5.5</t>
  </si>
  <si>
    <t>5.6</t>
  </si>
  <si>
    <t>SPT 1</t>
  </si>
  <si>
    <t>SPT 7</t>
  </si>
  <si>
    <t>SPT 32</t>
  </si>
  <si>
    <t>SPT 36</t>
  </si>
  <si>
    <t>SPT 37</t>
  </si>
  <si>
    <t>SPT 38</t>
  </si>
  <si>
    <t>SPT 41</t>
  </si>
  <si>
    <t>Vegetasi</t>
  </si>
  <si>
    <t>SPT 1.2 (Rumput)</t>
  </si>
  <si>
    <t>Ubi Jalar</t>
  </si>
  <si>
    <t>Rumput</t>
  </si>
  <si>
    <t>Lahan Terbuka</t>
  </si>
  <si>
    <t>Padi</t>
  </si>
  <si>
    <t>Singkong, Pisang, Gamal</t>
  </si>
  <si>
    <t>Jagung, Tomat</t>
  </si>
  <si>
    <t>Rumput Jagah Mini</t>
  </si>
  <si>
    <t>Kopi, Durian</t>
  </si>
  <si>
    <t>Kelapa Sawit</t>
  </si>
  <si>
    <t>Hutan Sekunder</t>
  </si>
  <si>
    <t>Jagung</t>
  </si>
  <si>
    <t>Singkong</t>
  </si>
  <si>
    <t>SPT32.4 (Durian, Rumput Gajah, Pisang Katalog, pisang)</t>
  </si>
  <si>
    <t xml:space="preserve">Durian, Rumput Gajah, Pisang Katalog, Pisang </t>
  </si>
  <si>
    <t>SPT32.5 (Durian, nangka, pala, singkong, pisang, pisang Katalog )</t>
  </si>
  <si>
    <t xml:space="preserve">Durian, nangka, pala, singkong, pisang, pisang Katalog </t>
  </si>
  <si>
    <t xml:space="preserve">Kebun Jati </t>
  </si>
  <si>
    <t>Terong</t>
  </si>
  <si>
    <t>Terong, Pepaya, Cabai, Jeruk, Pisang)</t>
  </si>
  <si>
    <t>SPT 37.3 (Lahan Terbuka)</t>
  </si>
  <si>
    <t>Padi Sawah</t>
  </si>
  <si>
    <t>SPT 38.5 (Semak, Putri Malu, Rumput)</t>
  </si>
  <si>
    <t>Kebun Belimbing</t>
  </si>
  <si>
    <t>Cabai</t>
  </si>
  <si>
    <t>Semak (Putri Malu, Rumput)</t>
  </si>
  <si>
    <t>Bengkoang</t>
  </si>
  <si>
    <t>jagung</t>
  </si>
  <si>
    <t>Jambu Kristal</t>
  </si>
  <si>
    <t>Kebun Durian</t>
  </si>
  <si>
    <t>Macam Tanah</t>
  </si>
  <si>
    <t>Data Pengukuran pH Tanah</t>
  </si>
  <si>
    <t xml:space="preserve">Rata-Rata pH </t>
  </si>
  <si>
    <t>Rata-Rata N</t>
  </si>
  <si>
    <t>Rata-Rata Kelembaban</t>
  </si>
  <si>
    <t>Rata-Rata P</t>
  </si>
  <si>
    <t>Rata-Rata K</t>
  </si>
  <si>
    <t>Rata-Rata</t>
  </si>
  <si>
    <t>pH (H2O) LAB</t>
  </si>
  <si>
    <t>Rata-Rata 5 Ulangan Alat Portabel 1 (pH)</t>
  </si>
  <si>
    <t>Rata-Rata 5 Ulangan Alat Portabel 2 (pH)</t>
  </si>
  <si>
    <t>Selisih portabel 1</t>
  </si>
  <si>
    <t>Selisih portabel 2</t>
  </si>
  <si>
    <t>Alat Portabel - Lab</t>
  </si>
  <si>
    <t>Data Pengukuran  Tanah</t>
  </si>
  <si>
    <t>KA Portabel (%)</t>
  </si>
  <si>
    <t>P_Tersedia (LAB)</t>
  </si>
  <si>
    <t>kadar Air Lab (%)</t>
  </si>
  <si>
    <t>Rata-Rata 5 Ulangan Alat Portabel 1 (N)</t>
  </si>
  <si>
    <t>Rata-Rata 5 Ulangan Alat Portabel 2 (N)</t>
  </si>
  <si>
    <t>Rata-Rata 5 Ulangan Alat Portabel 1 (P)</t>
  </si>
  <si>
    <t>Rata-Rata 5 Ulangan Alat Portabel 2 (P)</t>
  </si>
  <si>
    <t>Rata-Rata 5 Ulangan Alat Portabel 1 (K)</t>
  </si>
  <si>
    <t>Rata-Rata 5 Ulangan Alat Portabel 2 (K)</t>
  </si>
  <si>
    <t>K2O5_Tersedia Lab</t>
  </si>
  <si>
    <t>Selisih portabel 1 NH4</t>
  </si>
  <si>
    <t>Selisih portabel 2 NO3</t>
  </si>
  <si>
    <t>Selisih portabel 2 NH4</t>
  </si>
  <si>
    <t>Selisih portabel 1 NO3</t>
  </si>
  <si>
    <t>Ket:</t>
  </si>
  <si>
    <t>Alat Portabel 1 merupakan alat yg mengukur NPK terpisah pisah-pisah</t>
  </si>
  <si>
    <t>Alat Portabel 2 merupakan alat yg mengukur NPK, pH dan Kelembaban  sekali bersamaan</t>
  </si>
  <si>
    <t>Alat Portabel 1 merupakan alat yg mengukur pH mandiri</t>
  </si>
  <si>
    <t>T</t>
  </si>
  <si>
    <t>Data Tekstur Tanah</t>
  </si>
  <si>
    <t>Pasir</t>
  </si>
  <si>
    <t>Debu</t>
  </si>
  <si>
    <t>Klai</t>
  </si>
  <si>
    <t>BT</t>
  </si>
  <si>
    <t>BC (g)</t>
  </si>
  <si>
    <t>BC+P (g)</t>
  </si>
  <si>
    <t>BP</t>
  </si>
  <si>
    <t>% P</t>
  </si>
  <si>
    <t>BC+D (g)</t>
  </si>
  <si>
    <t>% D</t>
  </si>
  <si>
    <t>BC+K (g)</t>
  </si>
  <si>
    <t>BK</t>
  </si>
  <si>
    <t>% K</t>
  </si>
  <si>
    <t xml:space="preserve">P+D+K % </t>
  </si>
  <si>
    <t>BT = Berat Total</t>
  </si>
  <si>
    <t>BC = Berat Cawan</t>
  </si>
  <si>
    <t>BP = Berat Pasir</t>
  </si>
  <si>
    <t>BD = Berat Debu</t>
  </si>
  <si>
    <t>BK = Berat Klai</t>
  </si>
  <si>
    <t>Data Pengukuran C_Organik</t>
  </si>
  <si>
    <t>Bobot Sampel</t>
  </si>
  <si>
    <t>Volume Ekstrak</t>
  </si>
  <si>
    <t>Awal (ml)</t>
  </si>
  <si>
    <t>Akhir (ml)</t>
  </si>
  <si>
    <t>Selisih Titrasi akhir-awal (ml)</t>
  </si>
  <si>
    <t>BLK</t>
  </si>
  <si>
    <t>Normalitas (N FeSO4)</t>
  </si>
  <si>
    <t>Konversi Karbon</t>
  </si>
  <si>
    <t>F Koreksi Oksidasi</t>
  </si>
  <si>
    <t>Persentase</t>
  </si>
  <si>
    <t>Kadar Air %</t>
  </si>
  <si>
    <t>F Kadar Air</t>
  </si>
  <si>
    <t>C-organik %</t>
  </si>
  <si>
    <t>(gr)</t>
  </si>
  <si>
    <t>(ml)</t>
  </si>
  <si>
    <t>Blanko</t>
  </si>
  <si>
    <t>Tekstur</t>
  </si>
  <si>
    <t>Masam</t>
  </si>
  <si>
    <t>Agak Masam</t>
  </si>
  <si>
    <t>Netral</t>
  </si>
  <si>
    <t>Sangat Masam</t>
  </si>
  <si>
    <t>Sangat Tinggi</t>
  </si>
  <si>
    <t>Sangat Rendah</t>
  </si>
  <si>
    <t>Tinggi</t>
  </si>
  <si>
    <t>Sedang</t>
  </si>
  <si>
    <t>Rendah</t>
  </si>
  <si>
    <t>Liat</t>
  </si>
  <si>
    <t>Lempung Berdebu</t>
  </si>
  <si>
    <t>Liat Berdebu</t>
  </si>
  <si>
    <t>Lempung Liat Berdebu</t>
  </si>
  <si>
    <t>Kriteria</t>
  </si>
  <si>
    <t xml:space="preserve">Klas Tekstur </t>
  </si>
  <si>
    <t>% Pasir</t>
  </si>
  <si>
    <t>% Debu</t>
  </si>
  <si>
    <t>% Klay</t>
  </si>
  <si>
    <t>Klasifikasi</t>
  </si>
  <si>
    <t>NH₄⁺ (ppm)</t>
  </si>
  <si>
    <t>NO₃⁻ (ppm)</t>
  </si>
  <si>
    <t>NH₄-N (ppm)</t>
  </si>
  <si>
    <t>NO₃⁻ N (ppm)</t>
  </si>
  <si>
    <t>Klasifikasi NO₃⁻ N (ppm)</t>
  </si>
  <si>
    <t>Longchamps L, Mandal D, Khosla R. 2022. Assessment of Soil Fertility Using Induced Fluorescence and Machine Learning. Sensors. 22(12):4644. DOI: 10.3390/s22124644.</t>
  </si>
  <si>
    <t>Bahan Induk</t>
  </si>
  <si>
    <t>Landform</t>
  </si>
  <si>
    <t>Satuan Tanah</t>
  </si>
  <si>
    <t>No SPT</t>
  </si>
  <si>
    <t>Gleisol Distrik</t>
  </si>
  <si>
    <t>Dataran banjir pada sungai meander</t>
  </si>
  <si>
    <t>Endapan liat</t>
  </si>
  <si>
    <t>Kambisol Distrik</t>
  </si>
  <si>
    <t>Bagian tengah kipas</t>
  </si>
  <si>
    <t>Regosol Distrik</t>
  </si>
  <si>
    <t>Lereng vulkan bagian bawah</t>
  </si>
  <si>
    <t>Aliran lava dan andesit</t>
  </si>
  <si>
    <t>Aliran lava subresen</t>
  </si>
  <si>
    <t>Andesit dan basalt</t>
  </si>
  <si>
    <t>Latosol Haplik</t>
  </si>
  <si>
    <t>Dataran vulkan tua</t>
  </si>
  <si>
    <t>No Unit 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</si>
</sst>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1"/>
      <name val="Carlito"/>
    </font>
    <font>
      <sz val="8"/>
      <name val="Carlito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rlito"/>
    </font>
    <font>
      <b/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" fontId="2" fillId="3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2" fontId="2" fillId="11" borderId="8" xfId="0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165" fontId="0" fillId="13" borderId="8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2" fontId="2" fillId="10" borderId="8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0" fillId="0" borderId="8" xfId="0" applyBorder="1"/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2" fontId="0" fillId="7" borderId="8" xfId="0" applyNumberFormat="1" applyFill="1" applyBorder="1" applyAlignment="1">
      <alignment horizontal="center" vertical="center"/>
    </xf>
    <xf numFmtId="2" fontId="0" fillId="9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180974</xdr:colOff>
      <xdr:row>5</xdr:row>
      <xdr:rowOff>133350</xdr:rowOff>
    </xdr:from>
    <xdr:to>
      <xdr:col>26</xdr:col>
      <xdr:colOff>95249</xdr:colOff>
      <xdr:row>17</xdr:row>
      <xdr:rowOff>181400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5188D3FD-5A80-E8D8-E1F3-A9503691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199" y="1200150"/>
          <a:ext cx="5400675" cy="277220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18</xdr:row>
      <xdr:rowOff>152400</xdr:rowOff>
    </xdr:from>
    <xdr:to>
      <xdr:col>26</xdr:col>
      <xdr:colOff>19797</xdr:colOff>
      <xdr:row>25</xdr:row>
      <xdr:rowOff>343206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32CDBC45-86B3-95B5-D4D5-5300E65A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2625" y="4143375"/>
          <a:ext cx="5353797" cy="2191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embar1"/>
  <dimension ref="A1:U180"/>
  <sheetViews>
    <sheetView topLeftCell="A24" zoomScale="90" zoomScaleNormal="90" workbookViewId="0">
      <selection activeCell="H41" sqref="H41"/>
    </sheetView>
  </sheetViews>
  <sheetFormatPr defaultRowHeight="15.75"/>
  <cols>
    <col min="1" max="1" width="7.25" style="1" customWidth="1"/>
    <col min="2" max="2" width="30" style="26" customWidth="1"/>
    <col min="3" max="3" width="9.75" style="1" customWidth="1"/>
    <col min="4" max="4" width="28.75" style="1" customWidth="1"/>
    <col min="5" max="5" width="11.25" style="1" customWidth="1"/>
    <col min="6" max="19" width="10.625" style="1" customWidth="1"/>
    <col min="20" max="20" width="12.875" style="2" customWidth="1"/>
    <col min="21" max="21" width="9" style="2"/>
    <col min="22" max="16384" width="9" style="1"/>
  </cols>
  <sheetData>
    <row r="1" spans="1:21" ht="22.35" customHeight="1">
      <c r="B1" s="83" t="s">
        <v>0</v>
      </c>
      <c r="C1" s="84"/>
      <c r="D1" s="84"/>
      <c r="E1" s="84"/>
      <c r="F1" s="84"/>
      <c r="G1" s="84"/>
      <c r="H1" s="84"/>
      <c r="I1" s="84"/>
      <c r="J1" s="84"/>
    </row>
    <row r="3" spans="1:21">
      <c r="F3" s="89"/>
      <c r="G3" s="89"/>
      <c r="H3" s="89"/>
      <c r="I3" s="89"/>
      <c r="J3" s="89"/>
      <c r="K3" s="32"/>
    </row>
    <row r="4" spans="1:21" ht="22.35" customHeight="1">
      <c r="A4" s="78" t="s">
        <v>30</v>
      </c>
      <c r="B4" s="85" t="s">
        <v>1</v>
      </c>
      <c r="C4" s="86" t="s">
        <v>2</v>
      </c>
      <c r="D4" s="3" t="s">
        <v>10</v>
      </c>
      <c r="E4" s="87" t="s">
        <v>84</v>
      </c>
      <c r="F4" s="90" t="s">
        <v>11</v>
      </c>
      <c r="G4" s="90"/>
      <c r="H4" s="90"/>
      <c r="I4" s="90"/>
      <c r="J4" s="90"/>
      <c r="K4" s="91"/>
      <c r="L4" s="98" t="s">
        <v>12</v>
      </c>
      <c r="M4" s="98"/>
      <c r="N4" s="98"/>
      <c r="O4" s="98"/>
      <c r="P4" s="98"/>
      <c r="Q4" s="98"/>
      <c r="R4" s="98"/>
      <c r="S4" s="98"/>
      <c r="T4" s="98"/>
      <c r="U4" s="98"/>
    </row>
    <row r="5" spans="1:21" ht="30.75" customHeight="1">
      <c r="A5" s="78"/>
      <c r="B5" s="85"/>
      <c r="C5" s="86"/>
      <c r="D5" s="5" t="s">
        <v>3</v>
      </c>
      <c r="E5" s="88"/>
      <c r="F5" s="33" t="s">
        <v>4</v>
      </c>
      <c r="G5" s="41" t="s">
        <v>85</v>
      </c>
      <c r="H5" s="33" t="s">
        <v>5</v>
      </c>
      <c r="I5" s="33" t="s">
        <v>87</v>
      </c>
      <c r="J5" s="42" t="s">
        <v>6</v>
      </c>
      <c r="K5" s="34" t="s">
        <v>88</v>
      </c>
      <c r="L5" s="4" t="s">
        <v>3</v>
      </c>
      <c r="M5" s="4" t="s">
        <v>89</v>
      </c>
      <c r="N5" s="4" t="s">
        <v>4</v>
      </c>
      <c r="O5" s="4" t="s">
        <v>89</v>
      </c>
      <c r="P5" s="4" t="s">
        <v>5</v>
      </c>
      <c r="Q5" s="4" t="s">
        <v>89</v>
      </c>
      <c r="R5" s="4" t="s">
        <v>6</v>
      </c>
      <c r="S5" s="4" t="s">
        <v>89</v>
      </c>
      <c r="T5" s="4" t="s">
        <v>29</v>
      </c>
      <c r="U5" s="27" t="s">
        <v>86</v>
      </c>
    </row>
    <row r="6" spans="1:21" ht="17.649999999999999" customHeight="1">
      <c r="A6" s="6">
        <v>1</v>
      </c>
      <c r="B6" s="76" t="s">
        <v>31</v>
      </c>
      <c r="C6" s="7">
        <v>1</v>
      </c>
      <c r="D6" s="8">
        <v>5.5</v>
      </c>
      <c r="E6" s="92">
        <f>AVERAGE(D6:D10)</f>
        <v>5.54</v>
      </c>
      <c r="F6" s="35">
        <v>20</v>
      </c>
      <c r="G6" s="108">
        <f>AVERAGE(F6:F10)</f>
        <v>11.6</v>
      </c>
      <c r="H6" s="40">
        <v>49</v>
      </c>
      <c r="I6" s="99">
        <f>AVERAGE(H6:H10)</f>
        <v>23</v>
      </c>
      <c r="J6" s="36">
        <v>62</v>
      </c>
      <c r="K6" s="95">
        <f>AVERAGE(J6:J10)</f>
        <v>32.6</v>
      </c>
      <c r="L6" s="37">
        <v>5</v>
      </c>
      <c r="M6" s="102">
        <f>AVERAGE(L6:L10)</f>
        <v>5.24</v>
      </c>
      <c r="N6" s="37">
        <v>48</v>
      </c>
      <c r="O6" s="102">
        <f>AVERAGE(N6:N10)</f>
        <v>40.799999999999997</v>
      </c>
      <c r="P6" s="37">
        <v>157</v>
      </c>
      <c r="Q6" s="102">
        <f>AVERAGE(P6:P10)</f>
        <v>141.6</v>
      </c>
      <c r="R6" s="37">
        <v>151</v>
      </c>
      <c r="S6" s="102">
        <f>AVERAGE(R6:R10)</f>
        <v>134</v>
      </c>
      <c r="T6" s="10">
        <v>93</v>
      </c>
      <c r="U6" s="105">
        <f>AVERAGE(T6:T10)</f>
        <v>91.399999999999991</v>
      </c>
    </row>
    <row r="7" spans="1:21" ht="17.649999999999999" customHeight="1">
      <c r="A7" s="6">
        <v>2</v>
      </c>
      <c r="B7" s="76"/>
      <c r="C7" s="7">
        <v>2</v>
      </c>
      <c r="D7" s="8">
        <v>5.4</v>
      </c>
      <c r="E7" s="93"/>
      <c r="F7" s="35">
        <v>12</v>
      </c>
      <c r="G7" s="109"/>
      <c r="H7" s="40">
        <v>19</v>
      </c>
      <c r="I7" s="100"/>
      <c r="J7" s="21">
        <v>27</v>
      </c>
      <c r="K7" s="96"/>
      <c r="L7" s="37">
        <v>5.2</v>
      </c>
      <c r="M7" s="103"/>
      <c r="N7" s="37">
        <v>43</v>
      </c>
      <c r="O7" s="103"/>
      <c r="P7" s="37">
        <v>149</v>
      </c>
      <c r="Q7" s="103"/>
      <c r="R7" s="37">
        <v>139</v>
      </c>
      <c r="S7" s="103"/>
      <c r="T7" s="10">
        <v>91.7</v>
      </c>
      <c r="U7" s="106"/>
    </row>
    <row r="8" spans="1:21" ht="17.649999999999999" customHeight="1">
      <c r="A8" s="6">
        <v>3</v>
      </c>
      <c r="B8" s="76"/>
      <c r="C8" s="7">
        <v>3</v>
      </c>
      <c r="D8" s="8">
        <v>6.3</v>
      </c>
      <c r="E8" s="93"/>
      <c r="F8" s="35">
        <v>10</v>
      </c>
      <c r="G8" s="109"/>
      <c r="H8" s="40">
        <v>10</v>
      </c>
      <c r="I8" s="100"/>
      <c r="J8" s="9">
        <v>19</v>
      </c>
      <c r="K8" s="96"/>
      <c r="L8" s="37">
        <v>5.3</v>
      </c>
      <c r="M8" s="103"/>
      <c r="N8" s="37">
        <v>42</v>
      </c>
      <c r="O8" s="103"/>
      <c r="P8" s="37">
        <v>143</v>
      </c>
      <c r="Q8" s="103"/>
      <c r="R8" s="37">
        <v>136</v>
      </c>
      <c r="S8" s="103"/>
      <c r="T8" s="10">
        <v>88.6</v>
      </c>
      <c r="U8" s="106"/>
    </row>
    <row r="9" spans="1:21" ht="17.649999999999999" customHeight="1">
      <c r="A9" s="6">
        <v>4</v>
      </c>
      <c r="B9" s="76"/>
      <c r="C9" s="7">
        <v>4</v>
      </c>
      <c r="D9" s="8">
        <v>5.2</v>
      </c>
      <c r="E9" s="93"/>
      <c r="F9" s="35">
        <v>6</v>
      </c>
      <c r="G9" s="109"/>
      <c r="H9" s="40">
        <v>15</v>
      </c>
      <c r="I9" s="100"/>
      <c r="J9" s="9">
        <v>21</v>
      </c>
      <c r="K9" s="96"/>
      <c r="L9" s="37">
        <v>5.4</v>
      </c>
      <c r="M9" s="103"/>
      <c r="N9" s="37">
        <v>37</v>
      </c>
      <c r="O9" s="103"/>
      <c r="P9" s="37">
        <v>133</v>
      </c>
      <c r="Q9" s="103"/>
      <c r="R9" s="37">
        <v>126</v>
      </c>
      <c r="S9" s="103"/>
      <c r="T9" s="10">
        <v>93.5</v>
      </c>
      <c r="U9" s="106"/>
    </row>
    <row r="10" spans="1:21" ht="17.649999999999999" customHeight="1">
      <c r="A10" s="6">
        <v>5</v>
      </c>
      <c r="B10" s="76"/>
      <c r="C10" s="7">
        <v>5</v>
      </c>
      <c r="D10" s="8">
        <v>5.3</v>
      </c>
      <c r="E10" s="94"/>
      <c r="F10" s="35">
        <v>10</v>
      </c>
      <c r="G10" s="110"/>
      <c r="H10" s="40">
        <v>22</v>
      </c>
      <c r="I10" s="101"/>
      <c r="J10" s="9">
        <v>34</v>
      </c>
      <c r="K10" s="97"/>
      <c r="L10" s="37">
        <v>5.3</v>
      </c>
      <c r="M10" s="104"/>
      <c r="N10" s="37">
        <v>34</v>
      </c>
      <c r="O10" s="104"/>
      <c r="P10" s="37">
        <v>126</v>
      </c>
      <c r="Q10" s="104"/>
      <c r="R10" s="37">
        <v>118</v>
      </c>
      <c r="S10" s="104"/>
      <c r="T10" s="10">
        <v>90.2</v>
      </c>
      <c r="U10" s="107"/>
    </row>
    <row r="11" spans="1:21" ht="17.649999999999999" customHeight="1">
      <c r="A11" s="6">
        <v>6</v>
      </c>
      <c r="B11" s="76" t="s">
        <v>52</v>
      </c>
      <c r="C11" s="7">
        <v>1</v>
      </c>
      <c r="D11" s="8">
        <v>6.1</v>
      </c>
      <c r="E11" s="92">
        <f t="shared" ref="E11" si="0">AVERAGE(D11:D15)</f>
        <v>6.080000000000001</v>
      </c>
      <c r="F11" s="35">
        <v>16</v>
      </c>
      <c r="G11" s="108">
        <f t="shared" ref="G11" si="1">AVERAGE(F11:F15)</f>
        <v>17.600000000000001</v>
      </c>
      <c r="H11" s="40">
        <v>31</v>
      </c>
      <c r="I11" s="99">
        <f t="shared" ref="I11" si="2">AVERAGE(H11:H15)</f>
        <v>36.6</v>
      </c>
      <c r="J11" s="9">
        <v>45</v>
      </c>
      <c r="K11" s="95">
        <f t="shared" ref="K11" si="3">AVERAGE(J11:J15)</f>
        <v>54.6</v>
      </c>
      <c r="L11" s="37" t="s">
        <v>42</v>
      </c>
      <c r="M11" s="102">
        <f t="shared" ref="M11" si="4">AVERAGE(L11:L15)</f>
        <v>5.6</v>
      </c>
      <c r="N11" s="37">
        <v>17</v>
      </c>
      <c r="O11" s="102">
        <f t="shared" ref="O11" si="5">AVERAGE(N11:N15)</f>
        <v>18.600000000000001</v>
      </c>
      <c r="P11" s="37">
        <v>85</v>
      </c>
      <c r="Q11" s="102">
        <f t="shared" ref="Q11" si="6">AVERAGE(P11:P15)</f>
        <v>89</v>
      </c>
      <c r="R11" s="37">
        <v>77</v>
      </c>
      <c r="S11" s="102">
        <f t="shared" ref="S11" si="7">AVERAGE(R11:R15)</f>
        <v>81.8</v>
      </c>
      <c r="T11" s="10">
        <v>82.9</v>
      </c>
      <c r="U11" s="105">
        <f t="shared" ref="U11" si="8">AVERAGE(T11:T15)</f>
        <v>83.140000000000015</v>
      </c>
    </row>
    <row r="12" spans="1:21" ht="17.649999999999999" customHeight="1">
      <c r="A12" s="6">
        <v>7</v>
      </c>
      <c r="B12" s="76"/>
      <c r="C12" s="7">
        <v>2</v>
      </c>
      <c r="D12" s="8">
        <v>6.2</v>
      </c>
      <c r="E12" s="93"/>
      <c r="F12" s="35">
        <v>19</v>
      </c>
      <c r="G12" s="109"/>
      <c r="H12" s="40">
        <v>40</v>
      </c>
      <c r="I12" s="100"/>
      <c r="J12" s="9">
        <v>60</v>
      </c>
      <c r="K12" s="96"/>
      <c r="L12" s="37">
        <v>5.6</v>
      </c>
      <c r="M12" s="103"/>
      <c r="N12" s="37">
        <v>19</v>
      </c>
      <c r="O12" s="103"/>
      <c r="P12" s="37">
        <v>89</v>
      </c>
      <c r="Q12" s="103"/>
      <c r="R12" s="37">
        <v>82</v>
      </c>
      <c r="S12" s="103"/>
      <c r="T12" s="10">
        <v>83.9</v>
      </c>
      <c r="U12" s="106"/>
    </row>
    <row r="13" spans="1:21" ht="17.649999999999999" customHeight="1">
      <c r="A13" s="6">
        <v>8</v>
      </c>
      <c r="B13" s="76"/>
      <c r="C13" s="7">
        <v>3</v>
      </c>
      <c r="D13" s="8">
        <v>5.9</v>
      </c>
      <c r="E13" s="93"/>
      <c r="F13" s="35">
        <v>26</v>
      </c>
      <c r="G13" s="109"/>
      <c r="H13" s="40">
        <v>45</v>
      </c>
      <c r="I13" s="100"/>
      <c r="J13" s="9">
        <v>76</v>
      </c>
      <c r="K13" s="96"/>
      <c r="L13" s="37">
        <v>5.6</v>
      </c>
      <c r="M13" s="103"/>
      <c r="N13" s="37">
        <v>18</v>
      </c>
      <c r="O13" s="103"/>
      <c r="P13" s="37">
        <v>89</v>
      </c>
      <c r="Q13" s="103"/>
      <c r="R13" s="37">
        <v>82</v>
      </c>
      <c r="S13" s="103"/>
      <c r="T13" s="10">
        <v>78.7</v>
      </c>
      <c r="U13" s="106"/>
    </row>
    <row r="14" spans="1:21" ht="17.649999999999999" customHeight="1">
      <c r="A14" s="6">
        <v>9</v>
      </c>
      <c r="B14" s="76"/>
      <c r="C14" s="7">
        <v>4</v>
      </c>
      <c r="D14" s="8">
        <v>5.8</v>
      </c>
      <c r="E14" s="93"/>
      <c r="F14" s="35">
        <v>14</v>
      </c>
      <c r="G14" s="109"/>
      <c r="H14" s="40">
        <v>34</v>
      </c>
      <c r="I14" s="100"/>
      <c r="J14" s="9">
        <v>50</v>
      </c>
      <c r="K14" s="96"/>
      <c r="L14" s="37">
        <v>5.6</v>
      </c>
      <c r="M14" s="103"/>
      <c r="N14" s="37">
        <v>21</v>
      </c>
      <c r="O14" s="103"/>
      <c r="P14" s="37">
        <v>93</v>
      </c>
      <c r="Q14" s="103"/>
      <c r="R14" s="37">
        <v>86</v>
      </c>
      <c r="S14" s="103"/>
      <c r="T14" s="10">
        <v>85.6</v>
      </c>
      <c r="U14" s="106"/>
    </row>
    <row r="15" spans="1:21" ht="17.649999999999999" customHeight="1">
      <c r="A15" s="6">
        <v>10</v>
      </c>
      <c r="B15" s="76"/>
      <c r="C15" s="7">
        <v>5</v>
      </c>
      <c r="D15" s="8">
        <v>6.4</v>
      </c>
      <c r="E15" s="94"/>
      <c r="F15" s="35">
        <v>13</v>
      </c>
      <c r="G15" s="110"/>
      <c r="H15" s="40">
        <v>33</v>
      </c>
      <c r="I15" s="101"/>
      <c r="J15" s="9">
        <v>42</v>
      </c>
      <c r="K15" s="97"/>
      <c r="L15" s="37">
        <v>5.6</v>
      </c>
      <c r="M15" s="104"/>
      <c r="N15" s="37">
        <v>18</v>
      </c>
      <c r="O15" s="104"/>
      <c r="P15" s="37">
        <v>89</v>
      </c>
      <c r="Q15" s="104"/>
      <c r="R15" s="37">
        <v>82</v>
      </c>
      <c r="S15" s="104"/>
      <c r="T15" s="10">
        <v>84.6</v>
      </c>
      <c r="U15" s="107"/>
    </row>
    <row r="16" spans="1:21" ht="17.649999999999999" customHeight="1">
      <c r="A16" s="6">
        <v>11</v>
      </c>
      <c r="B16" s="76" t="s">
        <v>32</v>
      </c>
      <c r="C16" s="7">
        <v>1</v>
      </c>
      <c r="D16" s="8">
        <v>6.2</v>
      </c>
      <c r="E16" s="92">
        <f t="shared" ref="E16" si="9">AVERAGE(D16:D20)</f>
        <v>5.96</v>
      </c>
      <c r="F16" s="9">
        <v>16</v>
      </c>
      <c r="G16" s="108">
        <f t="shared" ref="G16" si="10">AVERAGE(F16:F20)</f>
        <v>17.600000000000001</v>
      </c>
      <c r="H16" s="9">
        <v>41</v>
      </c>
      <c r="I16" s="99">
        <f t="shared" ref="I16" si="11">AVERAGE(H16:H20)</f>
        <v>37.799999999999997</v>
      </c>
      <c r="J16" s="9">
        <v>50</v>
      </c>
      <c r="K16" s="95">
        <f t="shared" ref="K16" si="12">AVERAGE(J16:J20)</f>
        <v>67</v>
      </c>
      <c r="L16" s="37">
        <v>5.6</v>
      </c>
      <c r="M16" s="102">
        <f t="shared" ref="M16" si="13">AVERAGE(L16:L20)</f>
        <v>5.7799999999999994</v>
      </c>
      <c r="N16" s="37">
        <v>55</v>
      </c>
      <c r="O16" s="102">
        <f t="shared" ref="O16" si="14">AVERAGE(N16:N20)</f>
        <v>47</v>
      </c>
      <c r="P16" s="37">
        <v>173</v>
      </c>
      <c r="Q16" s="102">
        <f t="shared" ref="Q16" si="15">AVERAGE(P16:P20)</f>
        <v>155</v>
      </c>
      <c r="R16" s="37">
        <v>167</v>
      </c>
      <c r="S16" s="102">
        <f t="shared" ref="S16" si="16">AVERAGE(R16:R20)</f>
        <v>148.19999999999999</v>
      </c>
      <c r="T16" s="10">
        <v>90.6</v>
      </c>
      <c r="U16" s="105">
        <f t="shared" ref="U16" si="17">AVERAGE(T16:T20)</f>
        <v>87.240000000000009</v>
      </c>
    </row>
    <row r="17" spans="1:21" ht="17.649999999999999" customHeight="1">
      <c r="A17" s="6">
        <v>12</v>
      </c>
      <c r="B17" s="76"/>
      <c r="C17" s="7">
        <v>2</v>
      </c>
      <c r="D17" s="8">
        <v>6.3</v>
      </c>
      <c r="E17" s="93"/>
      <c r="F17" s="9">
        <v>16</v>
      </c>
      <c r="G17" s="109"/>
      <c r="H17" s="9">
        <v>41</v>
      </c>
      <c r="I17" s="100"/>
      <c r="J17" s="9">
        <v>78</v>
      </c>
      <c r="K17" s="96"/>
      <c r="L17" s="37">
        <v>5.7</v>
      </c>
      <c r="M17" s="103"/>
      <c r="N17" s="37">
        <v>50</v>
      </c>
      <c r="O17" s="103"/>
      <c r="P17" s="37">
        <v>163</v>
      </c>
      <c r="Q17" s="103"/>
      <c r="R17" s="37">
        <v>156</v>
      </c>
      <c r="S17" s="103"/>
      <c r="T17" s="10">
        <v>89.5</v>
      </c>
      <c r="U17" s="106"/>
    </row>
    <row r="18" spans="1:21" ht="17.649999999999999" customHeight="1">
      <c r="A18" s="6">
        <v>13</v>
      </c>
      <c r="B18" s="76"/>
      <c r="C18" s="7">
        <v>3</v>
      </c>
      <c r="D18" s="8">
        <v>5.8</v>
      </c>
      <c r="E18" s="93"/>
      <c r="F18" s="9">
        <v>26</v>
      </c>
      <c r="G18" s="109"/>
      <c r="H18" s="9">
        <v>40</v>
      </c>
      <c r="I18" s="100"/>
      <c r="J18" s="9">
        <v>50</v>
      </c>
      <c r="K18" s="96"/>
      <c r="L18" s="37">
        <v>5.8</v>
      </c>
      <c r="M18" s="103"/>
      <c r="N18" s="37">
        <v>40</v>
      </c>
      <c r="O18" s="103"/>
      <c r="P18" s="37">
        <v>139</v>
      </c>
      <c r="Q18" s="103"/>
      <c r="R18" s="37">
        <v>132</v>
      </c>
      <c r="S18" s="103"/>
      <c r="T18" s="10">
        <v>84.2</v>
      </c>
      <c r="U18" s="106"/>
    </row>
    <row r="19" spans="1:21" ht="17.649999999999999" customHeight="1">
      <c r="A19" s="6">
        <v>14</v>
      </c>
      <c r="B19" s="76"/>
      <c r="C19" s="7">
        <v>4</v>
      </c>
      <c r="D19" s="8">
        <v>6.2</v>
      </c>
      <c r="E19" s="93"/>
      <c r="F19" s="9">
        <v>14</v>
      </c>
      <c r="G19" s="109"/>
      <c r="H19" s="9">
        <v>30</v>
      </c>
      <c r="I19" s="100"/>
      <c r="J19" s="9">
        <v>78</v>
      </c>
      <c r="K19" s="96"/>
      <c r="L19" s="37">
        <v>5.9</v>
      </c>
      <c r="M19" s="103"/>
      <c r="N19" s="37">
        <v>46</v>
      </c>
      <c r="O19" s="103"/>
      <c r="P19" s="37">
        <v>152</v>
      </c>
      <c r="Q19" s="103"/>
      <c r="R19" s="37">
        <v>145</v>
      </c>
      <c r="S19" s="103"/>
      <c r="T19" s="10">
        <v>86.5</v>
      </c>
      <c r="U19" s="106"/>
    </row>
    <row r="20" spans="1:21" ht="17.649999999999999" customHeight="1">
      <c r="A20" s="6">
        <v>15</v>
      </c>
      <c r="B20" s="76"/>
      <c r="C20" s="7">
        <v>5</v>
      </c>
      <c r="D20" s="8">
        <v>5.3</v>
      </c>
      <c r="E20" s="94"/>
      <c r="F20" s="9">
        <v>16</v>
      </c>
      <c r="G20" s="110"/>
      <c r="H20" s="9">
        <v>37</v>
      </c>
      <c r="I20" s="101"/>
      <c r="J20" s="9">
        <v>79</v>
      </c>
      <c r="K20" s="97"/>
      <c r="L20" s="37">
        <v>5.9</v>
      </c>
      <c r="M20" s="104"/>
      <c r="N20" s="37">
        <v>44</v>
      </c>
      <c r="O20" s="104"/>
      <c r="P20" s="37">
        <v>148</v>
      </c>
      <c r="Q20" s="104"/>
      <c r="R20" s="37">
        <v>141</v>
      </c>
      <c r="S20" s="104"/>
      <c r="T20" s="10">
        <v>85.4</v>
      </c>
      <c r="U20" s="107"/>
    </row>
    <row r="21" spans="1:21">
      <c r="A21" s="6">
        <v>16</v>
      </c>
      <c r="B21" s="76" t="s">
        <v>33</v>
      </c>
      <c r="C21" s="7">
        <v>1</v>
      </c>
      <c r="D21" s="8">
        <v>5.4</v>
      </c>
      <c r="E21" s="92">
        <f t="shared" ref="E21" si="18">AVERAGE(D21:D25)</f>
        <v>5.5600000000000005</v>
      </c>
      <c r="F21" s="9">
        <v>17</v>
      </c>
      <c r="G21" s="108">
        <f t="shared" ref="G21" si="19">AVERAGE(F21:F25)</f>
        <v>14.4</v>
      </c>
      <c r="H21" s="9">
        <v>38</v>
      </c>
      <c r="I21" s="99">
        <f t="shared" ref="I21" si="20">AVERAGE(H21:H25)</f>
        <v>34.4</v>
      </c>
      <c r="J21" s="9">
        <v>52</v>
      </c>
      <c r="K21" s="95">
        <f t="shared" ref="K21" si="21">AVERAGE(J21:J25)</f>
        <v>50.4</v>
      </c>
      <c r="L21" s="37">
        <v>5.9</v>
      </c>
      <c r="M21" s="102">
        <f t="shared" ref="M21" si="22">AVERAGE(L21:L25)</f>
        <v>6.12</v>
      </c>
      <c r="N21" s="37">
        <v>91</v>
      </c>
      <c r="O21" s="102">
        <f t="shared" ref="O21" si="23">AVERAGE(N21:N25)</f>
        <v>95.8</v>
      </c>
      <c r="P21" s="37">
        <v>258</v>
      </c>
      <c r="Q21" s="102">
        <f t="shared" ref="Q21" si="24">AVERAGE(P21:P25)</f>
        <v>269</v>
      </c>
      <c r="R21" s="37">
        <v>253</v>
      </c>
      <c r="S21" s="102">
        <f t="shared" ref="S21" si="25">AVERAGE(R21:R25)</f>
        <v>264.2</v>
      </c>
      <c r="T21" s="10">
        <v>86.4</v>
      </c>
      <c r="U21" s="105">
        <f t="shared" ref="U21" si="26">AVERAGE(T21:T25)</f>
        <v>89.47999999999999</v>
      </c>
    </row>
    <row r="22" spans="1:21">
      <c r="A22" s="6">
        <v>17</v>
      </c>
      <c r="B22" s="76"/>
      <c r="C22" s="7">
        <v>2</v>
      </c>
      <c r="D22" s="8">
        <v>5.7</v>
      </c>
      <c r="E22" s="93"/>
      <c r="F22" s="9">
        <v>10</v>
      </c>
      <c r="G22" s="109"/>
      <c r="H22" s="9">
        <v>44</v>
      </c>
      <c r="I22" s="100"/>
      <c r="J22" s="9">
        <v>38</v>
      </c>
      <c r="K22" s="96"/>
      <c r="L22" s="37">
        <v>6</v>
      </c>
      <c r="M22" s="103"/>
      <c r="N22" s="37">
        <v>83</v>
      </c>
      <c r="O22" s="103"/>
      <c r="P22" s="37">
        <v>241</v>
      </c>
      <c r="Q22" s="103"/>
      <c r="R22" s="37">
        <v>237</v>
      </c>
      <c r="S22" s="103"/>
      <c r="T22" s="10">
        <v>88</v>
      </c>
      <c r="U22" s="106"/>
    </row>
    <row r="23" spans="1:21">
      <c r="A23" s="6">
        <v>18</v>
      </c>
      <c r="B23" s="76"/>
      <c r="C23" s="7">
        <v>3</v>
      </c>
      <c r="D23" s="8">
        <v>5.6</v>
      </c>
      <c r="E23" s="93"/>
      <c r="F23" s="9">
        <v>17</v>
      </c>
      <c r="G23" s="109"/>
      <c r="H23" s="9">
        <v>32</v>
      </c>
      <c r="I23" s="100"/>
      <c r="J23" s="9">
        <v>43</v>
      </c>
      <c r="K23" s="96"/>
      <c r="L23" s="37">
        <v>6.1</v>
      </c>
      <c r="M23" s="103"/>
      <c r="N23" s="37">
        <v>90</v>
      </c>
      <c r="O23" s="103"/>
      <c r="P23" s="37">
        <v>255</v>
      </c>
      <c r="Q23" s="103"/>
      <c r="R23" s="37">
        <v>250</v>
      </c>
      <c r="S23" s="103"/>
      <c r="T23" s="10">
        <v>87.5</v>
      </c>
      <c r="U23" s="106"/>
    </row>
    <row r="24" spans="1:21">
      <c r="A24" s="6">
        <v>19</v>
      </c>
      <c r="B24" s="76"/>
      <c r="C24" s="7">
        <v>4</v>
      </c>
      <c r="D24" s="8">
        <v>5.2</v>
      </c>
      <c r="E24" s="93"/>
      <c r="F24" s="9">
        <v>14</v>
      </c>
      <c r="G24" s="109"/>
      <c r="H24" s="9">
        <v>29</v>
      </c>
      <c r="I24" s="100"/>
      <c r="J24" s="9">
        <v>59</v>
      </c>
      <c r="K24" s="96"/>
      <c r="L24" s="37">
        <v>6.3</v>
      </c>
      <c r="M24" s="103"/>
      <c r="N24" s="37">
        <v>107</v>
      </c>
      <c r="O24" s="103"/>
      <c r="P24" s="37">
        <v>295</v>
      </c>
      <c r="Q24" s="103"/>
      <c r="R24" s="37">
        <v>290</v>
      </c>
      <c r="S24" s="103"/>
      <c r="T24" s="10">
        <v>91.7</v>
      </c>
      <c r="U24" s="106"/>
    </row>
    <row r="25" spans="1:21">
      <c r="A25" s="6">
        <v>20</v>
      </c>
      <c r="B25" s="80"/>
      <c r="C25" s="11">
        <v>5</v>
      </c>
      <c r="D25" s="12">
        <v>5.9</v>
      </c>
      <c r="E25" s="94"/>
      <c r="F25" s="13">
        <v>14</v>
      </c>
      <c r="G25" s="110"/>
      <c r="H25" s="13">
        <v>29</v>
      </c>
      <c r="I25" s="101"/>
      <c r="J25" s="13">
        <v>60</v>
      </c>
      <c r="K25" s="97"/>
      <c r="L25" s="37">
        <v>6.3</v>
      </c>
      <c r="M25" s="104"/>
      <c r="N25" s="37">
        <v>108</v>
      </c>
      <c r="O25" s="104"/>
      <c r="P25" s="37">
        <v>296</v>
      </c>
      <c r="Q25" s="104"/>
      <c r="R25" s="37">
        <v>291</v>
      </c>
      <c r="S25" s="104"/>
      <c r="T25" s="10">
        <v>93.8</v>
      </c>
      <c r="U25" s="107"/>
    </row>
    <row r="26" spans="1:21">
      <c r="A26" s="6">
        <v>21</v>
      </c>
      <c r="B26" s="81" t="s">
        <v>34</v>
      </c>
      <c r="C26" s="14">
        <v>1</v>
      </c>
      <c r="D26" s="15">
        <v>5.0999999999999996</v>
      </c>
      <c r="E26" s="92">
        <f t="shared" ref="E26" si="27">AVERAGE(D26:D30)</f>
        <v>5.62</v>
      </c>
      <c r="F26" s="16">
        <v>20</v>
      </c>
      <c r="G26" s="108">
        <f t="shared" ref="G26" si="28">AVERAGE(F26:F30)</f>
        <v>15</v>
      </c>
      <c r="H26" s="16">
        <v>37</v>
      </c>
      <c r="I26" s="99">
        <f t="shared" ref="I26" si="29">AVERAGE(H26:H30)</f>
        <v>27.4</v>
      </c>
      <c r="J26" s="16">
        <v>54</v>
      </c>
      <c r="K26" s="95">
        <f t="shared" ref="K26" si="30">AVERAGE(J26:J30)</f>
        <v>43</v>
      </c>
      <c r="L26" s="37">
        <v>6.3</v>
      </c>
      <c r="M26" s="102">
        <f t="shared" ref="M26" si="31">AVERAGE(L26:L30)</f>
        <v>6.3000000000000007</v>
      </c>
      <c r="N26" s="37">
        <v>11</v>
      </c>
      <c r="O26" s="102">
        <f t="shared" ref="O26" si="32">AVERAGE(N26:N30)</f>
        <v>12.8</v>
      </c>
      <c r="P26" s="37">
        <v>73</v>
      </c>
      <c r="Q26" s="102">
        <f t="shared" ref="Q26" si="33">AVERAGE(P26:P30)</f>
        <v>71.400000000000006</v>
      </c>
      <c r="R26" s="37">
        <v>65</v>
      </c>
      <c r="S26" s="102">
        <f t="shared" ref="S26" si="34">AVERAGE(R26:R30)</f>
        <v>68</v>
      </c>
      <c r="T26" s="10">
        <v>70.3</v>
      </c>
      <c r="U26" s="105">
        <f t="shared" ref="U26" si="35">AVERAGE(T26:T30)</f>
        <v>80.11999999999999</v>
      </c>
    </row>
    <row r="27" spans="1:21">
      <c r="A27" s="6">
        <v>22</v>
      </c>
      <c r="B27" s="76"/>
      <c r="C27" s="7">
        <v>2</v>
      </c>
      <c r="D27" s="8">
        <v>5.3</v>
      </c>
      <c r="E27" s="93"/>
      <c r="F27" s="9">
        <v>22</v>
      </c>
      <c r="G27" s="109"/>
      <c r="H27" s="9">
        <v>45</v>
      </c>
      <c r="I27" s="100"/>
      <c r="J27" s="9">
        <v>64</v>
      </c>
      <c r="K27" s="96"/>
      <c r="L27" s="37">
        <v>6.2</v>
      </c>
      <c r="M27" s="103"/>
      <c r="N27" s="37">
        <v>17</v>
      </c>
      <c r="O27" s="103"/>
      <c r="P27" s="37">
        <v>83</v>
      </c>
      <c r="Q27" s="103"/>
      <c r="R27" s="37">
        <v>78</v>
      </c>
      <c r="S27" s="103"/>
      <c r="T27" s="10">
        <v>83.6</v>
      </c>
      <c r="U27" s="106"/>
    </row>
    <row r="28" spans="1:21">
      <c r="A28" s="6">
        <v>23</v>
      </c>
      <c r="B28" s="76"/>
      <c r="C28" s="7">
        <v>3</v>
      </c>
      <c r="D28" s="8">
        <v>6</v>
      </c>
      <c r="E28" s="93"/>
      <c r="F28" s="9">
        <v>12</v>
      </c>
      <c r="G28" s="109"/>
      <c r="H28" s="9">
        <v>23</v>
      </c>
      <c r="I28" s="100"/>
      <c r="J28" s="9">
        <v>41</v>
      </c>
      <c r="K28" s="96"/>
      <c r="L28" s="37">
        <v>6.3</v>
      </c>
      <c r="M28" s="103"/>
      <c r="N28" s="37">
        <v>11</v>
      </c>
      <c r="O28" s="103"/>
      <c r="P28" s="37">
        <v>72</v>
      </c>
      <c r="Q28" s="103"/>
      <c r="R28" s="37">
        <v>65</v>
      </c>
      <c r="S28" s="103"/>
      <c r="T28" s="10">
        <v>87.5</v>
      </c>
      <c r="U28" s="106"/>
    </row>
    <row r="29" spans="1:21">
      <c r="A29" s="6">
        <v>24</v>
      </c>
      <c r="B29" s="76"/>
      <c r="C29" s="7">
        <v>4</v>
      </c>
      <c r="D29" s="8">
        <v>5.3</v>
      </c>
      <c r="E29" s="93"/>
      <c r="F29" s="9">
        <v>8</v>
      </c>
      <c r="G29" s="109"/>
      <c r="H29" s="9">
        <v>16</v>
      </c>
      <c r="I29" s="100"/>
      <c r="J29" s="9">
        <v>26</v>
      </c>
      <c r="K29" s="96"/>
      <c r="L29" s="37">
        <v>6.4</v>
      </c>
      <c r="M29" s="103"/>
      <c r="N29" s="37">
        <v>12</v>
      </c>
      <c r="O29" s="103"/>
      <c r="P29" s="37">
        <v>76</v>
      </c>
      <c r="Q29" s="103"/>
      <c r="R29" s="37">
        <v>68</v>
      </c>
      <c r="S29" s="103"/>
      <c r="T29" s="10">
        <v>82.2</v>
      </c>
      <c r="U29" s="106"/>
    </row>
    <row r="30" spans="1:21">
      <c r="A30" s="6">
        <v>25</v>
      </c>
      <c r="B30" s="82"/>
      <c r="C30" s="17">
        <v>5</v>
      </c>
      <c r="D30" s="18">
        <v>6.4</v>
      </c>
      <c r="E30" s="94"/>
      <c r="F30" s="19">
        <v>13</v>
      </c>
      <c r="G30" s="110"/>
      <c r="H30" s="19">
        <v>16</v>
      </c>
      <c r="I30" s="101"/>
      <c r="J30" s="19">
        <v>30</v>
      </c>
      <c r="K30" s="97"/>
      <c r="L30" s="37">
        <v>6.3</v>
      </c>
      <c r="M30" s="104"/>
      <c r="N30" s="37">
        <v>13</v>
      </c>
      <c r="O30" s="104"/>
      <c r="P30" s="37">
        <v>53</v>
      </c>
      <c r="Q30" s="104"/>
      <c r="R30" s="37">
        <v>64</v>
      </c>
      <c r="S30" s="104"/>
      <c r="T30" s="10">
        <v>77</v>
      </c>
      <c r="U30" s="107"/>
    </row>
    <row r="31" spans="1:21">
      <c r="A31" s="6">
        <v>26</v>
      </c>
      <c r="B31" s="79" t="s">
        <v>13</v>
      </c>
      <c r="C31" s="20">
        <v>1</v>
      </c>
      <c r="D31" s="20">
        <v>5.7</v>
      </c>
      <c r="E31" s="92">
        <f>AVERAGE(D31:D35)</f>
        <v>6.0600000000000005</v>
      </c>
      <c r="F31" s="21">
        <v>43</v>
      </c>
      <c r="G31" s="108">
        <f t="shared" ref="G31" si="36">AVERAGE(F31:F35)</f>
        <v>45.4</v>
      </c>
      <c r="H31" s="21">
        <v>108</v>
      </c>
      <c r="I31" s="99">
        <f t="shared" ref="I31" si="37">AVERAGE(H31:H35)</f>
        <v>93.8</v>
      </c>
      <c r="J31" s="21">
        <v>161</v>
      </c>
      <c r="K31" s="95">
        <f t="shared" ref="K31" si="38">AVERAGE(J31:J35)</f>
        <v>147.19999999999999</v>
      </c>
      <c r="L31" s="38">
        <v>6.1</v>
      </c>
      <c r="M31" s="102">
        <f t="shared" ref="M31" si="39">AVERAGE(L31:L35)</f>
        <v>6.24</v>
      </c>
      <c r="N31" s="38">
        <v>136</v>
      </c>
      <c r="O31" s="102">
        <f t="shared" ref="O31" si="40">AVERAGE(N31:N35)</f>
        <v>143.6</v>
      </c>
      <c r="P31" s="38">
        <v>360</v>
      </c>
      <c r="Q31" s="102">
        <f t="shared" ref="Q31" si="41">AVERAGE(P31:P35)</f>
        <v>378.6</v>
      </c>
      <c r="R31" s="38">
        <v>355</v>
      </c>
      <c r="S31" s="102">
        <f t="shared" ref="S31" si="42">AVERAGE(R31:R35)</f>
        <v>374</v>
      </c>
      <c r="T31" s="22">
        <v>84.3</v>
      </c>
      <c r="U31" s="105">
        <f t="shared" ref="U31" si="43">AVERAGE(T31:T35)</f>
        <v>86.679999999999993</v>
      </c>
    </row>
    <row r="32" spans="1:21">
      <c r="A32" s="6">
        <v>27</v>
      </c>
      <c r="B32" s="77"/>
      <c r="C32" s="23">
        <v>2</v>
      </c>
      <c r="D32" s="23">
        <v>6.4</v>
      </c>
      <c r="E32" s="93"/>
      <c r="F32" s="9">
        <v>38</v>
      </c>
      <c r="G32" s="109"/>
      <c r="H32" s="9">
        <v>92</v>
      </c>
      <c r="I32" s="100"/>
      <c r="J32" s="9">
        <v>147</v>
      </c>
      <c r="K32" s="96"/>
      <c r="L32" s="38">
        <v>6.2</v>
      </c>
      <c r="M32" s="103"/>
      <c r="N32" s="38">
        <v>156</v>
      </c>
      <c r="O32" s="103"/>
      <c r="P32" s="38">
        <v>410</v>
      </c>
      <c r="Q32" s="103"/>
      <c r="R32" s="38">
        <v>405</v>
      </c>
      <c r="S32" s="103"/>
      <c r="T32" s="22">
        <v>88.7</v>
      </c>
      <c r="U32" s="106"/>
    </row>
    <row r="33" spans="1:21">
      <c r="A33" s="6">
        <v>28</v>
      </c>
      <c r="B33" s="77"/>
      <c r="C33" s="23">
        <v>3</v>
      </c>
      <c r="D33" s="23">
        <v>5.6</v>
      </c>
      <c r="E33" s="93"/>
      <c r="F33" s="9">
        <v>28</v>
      </c>
      <c r="G33" s="109"/>
      <c r="H33" s="9">
        <v>55</v>
      </c>
      <c r="I33" s="100"/>
      <c r="J33" s="9">
        <v>98</v>
      </c>
      <c r="K33" s="96"/>
      <c r="L33" s="38">
        <v>6.4</v>
      </c>
      <c r="M33" s="103"/>
      <c r="N33" s="38">
        <v>122</v>
      </c>
      <c r="O33" s="103"/>
      <c r="P33" s="38">
        <v>326</v>
      </c>
      <c r="Q33" s="103"/>
      <c r="R33" s="38">
        <v>323</v>
      </c>
      <c r="S33" s="103"/>
      <c r="T33" s="22">
        <v>80.400000000000006</v>
      </c>
      <c r="U33" s="106"/>
    </row>
    <row r="34" spans="1:21">
      <c r="A34" s="6">
        <v>29</v>
      </c>
      <c r="B34" s="77"/>
      <c r="C34" s="23">
        <v>4</v>
      </c>
      <c r="D34" s="23">
        <v>6.2</v>
      </c>
      <c r="E34" s="93"/>
      <c r="F34" s="9">
        <v>48</v>
      </c>
      <c r="G34" s="109"/>
      <c r="H34" s="9">
        <v>91</v>
      </c>
      <c r="I34" s="100"/>
      <c r="J34" s="9">
        <v>139</v>
      </c>
      <c r="K34" s="96"/>
      <c r="L34" s="38">
        <v>6.2</v>
      </c>
      <c r="M34" s="103"/>
      <c r="N34" s="38">
        <v>153</v>
      </c>
      <c r="O34" s="103"/>
      <c r="P34" s="38">
        <v>401</v>
      </c>
      <c r="Q34" s="103"/>
      <c r="R34" s="38">
        <v>396</v>
      </c>
      <c r="S34" s="103"/>
      <c r="T34" s="22">
        <v>90.6</v>
      </c>
      <c r="U34" s="106"/>
    </row>
    <row r="35" spans="1:21">
      <c r="A35" s="6">
        <v>30</v>
      </c>
      <c r="B35" s="77"/>
      <c r="C35" s="23">
        <v>5</v>
      </c>
      <c r="D35" s="23">
        <v>6.4</v>
      </c>
      <c r="E35" s="94"/>
      <c r="F35" s="9">
        <v>70</v>
      </c>
      <c r="G35" s="110"/>
      <c r="H35" s="9">
        <v>123</v>
      </c>
      <c r="I35" s="101"/>
      <c r="J35" s="9">
        <v>191</v>
      </c>
      <c r="K35" s="97"/>
      <c r="L35" s="38">
        <v>6.3</v>
      </c>
      <c r="M35" s="104"/>
      <c r="N35" s="38">
        <v>151</v>
      </c>
      <c r="O35" s="104"/>
      <c r="P35" s="38">
        <v>396</v>
      </c>
      <c r="Q35" s="104"/>
      <c r="R35" s="38">
        <v>391</v>
      </c>
      <c r="S35" s="104"/>
      <c r="T35" s="22">
        <v>89.4</v>
      </c>
      <c r="U35" s="107"/>
    </row>
    <row r="36" spans="1:21">
      <c r="A36" s="6">
        <v>31</v>
      </c>
      <c r="B36" s="77" t="s">
        <v>14</v>
      </c>
      <c r="C36" s="23">
        <v>1</v>
      </c>
      <c r="D36" s="24">
        <v>6.2</v>
      </c>
      <c r="E36" s="92">
        <f>AVERAGE(D36:D40)</f>
        <v>5.7200000000000006</v>
      </c>
      <c r="F36" s="9">
        <v>22</v>
      </c>
      <c r="G36" s="108">
        <f t="shared" ref="G36" si="44">AVERAGE(F36:F40)</f>
        <v>22.2</v>
      </c>
      <c r="H36" s="9">
        <v>39</v>
      </c>
      <c r="I36" s="99">
        <f t="shared" ref="I36" si="45">AVERAGE(H36:H40)</f>
        <v>41.2</v>
      </c>
      <c r="J36" s="9">
        <v>64</v>
      </c>
      <c r="K36" s="95">
        <f t="shared" ref="K36" si="46">AVERAGE(J36:J40)</f>
        <v>61.8</v>
      </c>
      <c r="L36" s="38">
        <v>6</v>
      </c>
      <c r="M36" s="102">
        <f t="shared" ref="M36" si="47">AVERAGE(L36:L40)</f>
        <v>6.18</v>
      </c>
      <c r="N36" s="38">
        <v>78</v>
      </c>
      <c r="O36" s="102">
        <f t="shared" ref="O36" si="48">AVERAGE(N36:N40)</f>
        <v>67</v>
      </c>
      <c r="P36" s="38">
        <v>226</v>
      </c>
      <c r="Q36" s="102">
        <f t="shared" ref="Q36" si="49">AVERAGE(P36:P40)</f>
        <v>201.6</v>
      </c>
      <c r="R36" s="38">
        <v>220</v>
      </c>
      <c r="S36" s="102">
        <f t="shared" ref="S36" si="50">AVERAGE(R36:R40)</f>
        <v>195.4</v>
      </c>
      <c r="T36" s="22">
        <v>93.8</v>
      </c>
      <c r="U36" s="105">
        <f t="shared" ref="U36" si="51">AVERAGE(T36:T40)</f>
        <v>90.72</v>
      </c>
    </row>
    <row r="37" spans="1:21">
      <c r="A37" s="6">
        <v>32</v>
      </c>
      <c r="B37" s="77"/>
      <c r="C37" s="23">
        <v>2</v>
      </c>
      <c r="D37" s="24">
        <v>5.3</v>
      </c>
      <c r="E37" s="93"/>
      <c r="F37" s="9">
        <v>21</v>
      </c>
      <c r="G37" s="109"/>
      <c r="H37" s="9">
        <v>40</v>
      </c>
      <c r="I37" s="100"/>
      <c r="J37" s="9">
        <v>53</v>
      </c>
      <c r="K37" s="96"/>
      <c r="L37" s="38">
        <v>6.1</v>
      </c>
      <c r="M37" s="103"/>
      <c r="N37" s="38">
        <v>73</v>
      </c>
      <c r="O37" s="103"/>
      <c r="P37" s="38">
        <v>214</v>
      </c>
      <c r="Q37" s="103"/>
      <c r="R37" s="38">
        <v>209</v>
      </c>
      <c r="S37" s="103"/>
      <c r="T37" s="22">
        <v>90.9</v>
      </c>
      <c r="U37" s="106"/>
    </row>
    <row r="38" spans="1:21">
      <c r="A38" s="6">
        <v>33</v>
      </c>
      <c r="B38" s="77"/>
      <c r="C38" s="23">
        <v>3</v>
      </c>
      <c r="D38" s="24">
        <v>5.0999999999999996</v>
      </c>
      <c r="E38" s="93"/>
      <c r="F38" s="9">
        <v>23</v>
      </c>
      <c r="G38" s="109"/>
      <c r="H38" s="9">
        <v>44</v>
      </c>
      <c r="I38" s="100"/>
      <c r="J38" s="9">
        <v>65</v>
      </c>
      <c r="K38" s="96"/>
      <c r="L38" s="38">
        <v>6.3</v>
      </c>
      <c r="M38" s="103"/>
      <c r="N38" s="38">
        <v>63</v>
      </c>
      <c r="O38" s="103"/>
      <c r="P38" s="38">
        <v>193</v>
      </c>
      <c r="Q38" s="103"/>
      <c r="R38" s="38">
        <v>186</v>
      </c>
      <c r="S38" s="103"/>
      <c r="T38" s="22">
        <v>89.5</v>
      </c>
      <c r="U38" s="106"/>
    </row>
    <row r="39" spans="1:21">
      <c r="A39" s="6">
        <v>34</v>
      </c>
      <c r="B39" s="77"/>
      <c r="C39" s="23">
        <v>4</v>
      </c>
      <c r="D39" s="24">
        <v>5.8</v>
      </c>
      <c r="E39" s="93"/>
      <c r="F39" s="9">
        <v>21</v>
      </c>
      <c r="G39" s="109"/>
      <c r="H39" s="9">
        <v>42</v>
      </c>
      <c r="I39" s="100"/>
      <c r="J39" s="9">
        <v>64</v>
      </c>
      <c r="K39" s="96"/>
      <c r="L39" s="38">
        <v>6.3</v>
      </c>
      <c r="M39" s="103"/>
      <c r="N39" s="38">
        <v>64</v>
      </c>
      <c r="O39" s="103"/>
      <c r="P39" s="38">
        <v>195</v>
      </c>
      <c r="Q39" s="103"/>
      <c r="R39" s="38">
        <v>189</v>
      </c>
      <c r="S39" s="103"/>
      <c r="T39" s="22">
        <v>90</v>
      </c>
      <c r="U39" s="106"/>
    </row>
    <row r="40" spans="1:21">
      <c r="A40" s="6">
        <v>35</v>
      </c>
      <c r="B40" s="77"/>
      <c r="C40" s="23">
        <v>5</v>
      </c>
      <c r="D40" s="24">
        <v>6.2</v>
      </c>
      <c r="E40" s="94"/>
      <c r="F40" s="9">
        <v>24</v>
      </c>
      <c r="G40" s="110"/>
      <c r="H40" s="9">
        <v>41</v>
      </c>
      <c r="I40" s="101"/>
      <c r="J40" s="9">
        <v>63</v>
      </c>
      <c r="K40" s="97"/>
      <c r="L40" s="38">
        <v>6.2</v>
      </c>
      <c r="M40" s="104"/>
      <c r="N40" s="38">
        <v>57</v>
      </c>
      <c r="O40" s="104"/>
      <c r="P40" s="38">
        <v>180</v>
      </c>
      <c r="Q40" s="104"/>
      <c r="R40" s="38">
        <v>173</v>
      </c>
      <c r="S40" s="104"/>
      <c r="T40" s="22">
        <v>89.4</v>
      </c>
      <c r="U40" s="107"/>
    </row>
    <row r="41" spans="1:21">
      <c r="A41" s="6">
        <v>36</v>
      </c>
      <c r="B41" s="77" t="s">
        <v>15</v>
      </c>
      <c r="C41" s="23">
        <v>1</v>
      </c>
      <c r="D41" s="24">
        <v>6.3</v>
      </c>
      <c r="E41" s="92">
        <f>AVERAGE(D41:D45)</f>
        <v>5.9799999999999995</v>
      </c>
      <c r="F41" s="9">
        <v>37</v>
      </c>
      <c r="G41" s="108">
        <f t="shared" ref="G41" si="52">AVERAGE(F41:F45)</f>
        <v>33.200000000000003</v>
      </c>
      <c r="H41" s="9">
        <v>64</v>
      </c>
      <c r="I41" s="99">
        <f t="shared" ref="I41" si="53">AVERAGE(H41:H45)</f>
        <v>65.2</v>
      </c>
      <c r="J41" s="9">
        <v>115</v>
      </c>
      <c r="K41" s="95">
        <f t="shared" ref="K41" si="54">AVERAGE(J41:J45)</f>
        <v>98.6</v>
      </c>
      <c r="L41" s="38">
        <v>6</v>
      </c>
      <c r="M41" s="102">
        <f t="shared" ref="M41" si="55">AVERAGE(L41:L45)</f>
        <v>6.2200000000000006</v>
      </c>
      <c r="N41" s="38">
        <v>75</v>
      </c>
      <c r="O41" s="102">
        <f t="shared" ref="O41" si="56">AVERAGE(N41:N45)</f>
        <v>87.6</v>
      </c>
      <c r="P41" s="38">
        <v>221</v>
      </c>
      <c r="Q41" s="102">
        <f t="shared" ref="Q41" si="57">AVERAGE(P41:P45)</f>
        <v>246.2</v>
      </c>
      <c r="R41" s="38">
        <v>217</v>
      </c>
      <c r="S41" s="102">
        <f t="shared" ref="S41" si="58">AVERAGE(R41:R45)</f>
        <v>241.4</v>
      </c>
      <c r="T41" s="22">
        <v>89.8</v>
      </c>
      <c r="U41" s="105">
        <f t="shared" ref="U41" si="59">AVERAGE(T41:T45)</f>
        <v>90.559999999999988</v>
      </c>
    </row>
    <row r="42" spans="1:21">
      <c r="A42" s="6">
        <v>37</v>
      </c>
      <c r="B42" s="77"/>
      <c r="C42" s="23">
        <v>2</v>
      </c>
      <c r="D42" s="24">
        <v>5.2</v>
      </c>
      <c r="E42" s="93"/>
      <c r="F42" s="9">
        <v>35</v>
      </c>
      <c r="G42" s="109"/>
      <c r="H42" s="9">
        <v>75</v>
      </c>
      <c r="I42" s="100"/>
      <c r="J42" s="9">
        <v>107</v>
      </c>
      <c r="K42" s="96"/>
      <c r="L42" s="38">
        <v>6.2</v>
      </c>
      <c r="M42" s="103"/>
      <c r="N42" s="38">
        <v>82</v>
      </c>
      <c r="O42" s="103"/>
      <c r="P42" s="38">
        <v>234</v>
      </c>
      <c r="Q42" s="103"/>
      <c r="R42" s="38">
        <v>229</v>
      </c>
      <c r="S42" s="103"/>
      <c r="T42" s="22">
        <v>90</v>
      </c>
      <c r="U42" s="106"/>
    </row>
    <row r="43" spans="1:21">
      <c r="A43" s="6">
        <v>38</v>
      </c>
      <c r="B43" s="77"/>
      <c r="C43" s="23">
        <v>3</v>
      </c>
      <c r="D43" s="24">
        <v>6.4</v>
      </c>
      <c r="E43" s="93"/>
      <c r="F43" s="9">
        <v>27</v>
      </c>
      <c r="G43" s="109"/>
      <c r="H43" s="9">
        <v>61</v>
      </c>
      <c r="I43" s="100"/>
      <c r="J43" s="9">
        <v>74</v>
      </c>
      <c r="K43" s="96"/>
      <c r="L43" s="38">
        <v>6.2</v>
      </c>
      <c r="M43" s="103"/>
      <c r="N43" s="38">
        <v>73</v>
      </c>
      <c r="O43" s="103"/>
      <c r="P43" s="38">
        <v>215</v>
      </c>
      <c r="Q43" s="103"/>
      <c r="R43" s="38">
        <v>208</v>
      </c>
      <c r="S43" s="103"/>
      <c r="T43" s="22">
        <v>88.6</v>
      </c>
      <c r="U43" s="106"/>
    </row>
    <row r="44" spans="1:21">
      <c r="A44" s="6">
        <v>39</v>
      </c>
      <c r="B44" s="77"/>
      <c r="C44" s="23">
        <v>4</v>
      </c>
      <c r="D44" s="24">
        <v>6.2</v>
      </c>
      <c r="E44" s="93"/>
      <c r="F44" s="9">
        <v>30</v>
      </c>
      <c r="G44" s="109"/>
      <c r="H44" s="9">
        <v>54</v>
      </c>
      <c r="I44" s="100"/>
      <c r="J44" s="9">
        <v>87</v>
      </c>
      <c r="K44" s="96"/>
      <c r="L44" s="38">
        <v>6.3</v>
      </c>
      <c r="M44" s="103"/>
      <c r="N44" s="38">
        <v>108</v>
      </c>
      <c r="O44" s="103"/>
      <c r="P44" s="38">
        <v>283</v>
      </c>
      <c r="Q44" s="103"/>
      <c r="R44" s="38">
        <v>280</v>
      </c>
      <c r="S44" s="103"/>
      <c r="T44" s="22">
        <v>91.7</v>
      </c>
      <c r="U44" s="106"/>
    </row>
    <row r="45" spans="1:21">
      <c r="A45" s="6">
        <v>40</v>
      </c>
      <c r="B45" s="77"/>
      <c r="C45" s="23">
        <v>5</v>
      </c>
      <c r="D45" s="24">
        <v>5.8</v>
      </c>
      <c r="E45" s="94"/>
      <c r="F45" s="9">
        <v>37</v>
      </c>
      <c r="G45" s="110"/>
      <c r="H45" s="9">
        <v>72</v>
      </c>
      <c r="I45" s="101"/>
      <c r="J45" s="9">
        <v>110</v>
      </c>
      <c r="K45" s="97"/>
      <c r="L45" s="38">
        <v>6.4</v>
      </c>
      <c r="M45" s="104"/>
      <c r="N45" s="38">
        <v>100</v>
      </c>
      <c r="O45" s="104"/>
      <c r="P45" s="38">
        <v>278</v>
      </c>
      <c r="Q45" s="104"/>
      <c r="R45" s="38">
        <v>273</v>
      </c>
      <c r="S45" s="104"/>
      <c r="T45" s="22">
        <v>92.7</v>
      </c>
      <c r="U45" s="107"/>
    </row>
    <row r="46" spans="1:21">
      <c r="A46" s="6">
        <v>41</v>
      </c>
      <c r="B46" s="77" t="s">
        <v>16</v>
      </c>
      <c r="C46" s="23">
        <v>1</v>
      </c>
      <c r="D46" s="24">
        <v>4.5</v>
      </c>
      <c r="E46" s="92">
        <f t="shared" ref="E46" si="60">AVERAGE(D46:D50)</f>
        <v>4.76</v>
      </c>
      <c r="F46" s="9">
        <v>3</v>
      </c>
      <c r="G46" s="108">
        <f t="shared" ref="G46" si="61">AVERAGE(F46:F50)</f>
        <v>2.4</v>
      </c>
      <c r="H46" s="9">
        <v>9</v>
      </c>
      <c r="I46" s="99">
        <f t="shared" ref="I46" si="62">AVERAGE(H46:H50)</f>
        <v>5.2</v>
      </c>
      <c r="J46" s="9">
        <v>9</v>
      </c>
      <c r="K46" s="95">
        <f t="shared" ref="K46" si="63">AVERAGE(J46:J50)</f>
        <v>7.4</v>
      </c>
      <c r="L46" s="38">
        <v>5</v>
      </c>
      <c r="M46" s="102">
        <f t="shared" ref="M46" si="64">AVERAGE(L46:L50)</f>
        <v>5.64</v>
      </c>
      <c r="N46" s="38">
        <v>0</v>
      </c>
      <c r="O46" s="102">
        <f t="shared" ref="O46" si="65">AVERAGE(N46:N50)</f>
        <v>0</v>
      </c>
      <c r="P46" s="38">
        <v>24</v>
      </c>
      <c r="Q46" s="102">
        <f t="shared" ref="Q46" si="66">AVERAGE(P46:P50)</f>
        <v>22.4</v>
      </c>
      <c r="R46" s="38">
        <v>16</v>
      </c>
      <c r="S46" s="102">
        <f t="shared" ref="S46" si="67">AVERAGE(R46:R50)</f>
        <v>14.4</v>
      </c>
      <c r="T46" s="22">
        <v>96.9</v>
      </c>
      <c r="U46" s="105">
        <f t="shared" ref="U46" si="68">AVERAGE(T46:T50)</f>
        <v>99.2</v>
      </c>
    </row>
    <row r="47" spans="1:21">
      <c r="A47" s="6">
        <v>42</v>
      </c>
      <c r="B47" s="77"/>
      <c r="C47" s="23">
        <v>2</v>
      </c>
      <c r="D47" s="24">
        <v>5</v>
      </c>
      <c r="E47" s="93"/>
      <c r="F47" s="9">
        <v>4</v>
      </c>
      <c r="G47" s="109"/>
      <c r="H47" s="9">
        <v>6</v>
      </c>
      <c r="I47" s="100"/>
      <c r="J47" s="9">
        <v>10</v>
      </c>
      <c r="K47" s="96"/>
      <c r="L47" s="38">
        <v>5.5</v>
      </c>
      <c r="M47" s="103"/>
      <c r="N47" s="38">
        <v>0</v>
      </c>
      <c r="O47" s="103"/>
      <c r="P47" s="38">
        <v>18</v>
      </c>
      <c r="Q47" s="103"/>
      <c r="R47" s="38">
        <v>10</v>
      </c>
      <c r="S47" s="103"/>
      <c r="T47" s="22">
        <v>99.2</v>
      </c>
      <c r="U47" s="106"/>
    </row>
    <row r="48" spans="1:21">
      <c r="A48" s="6">
        <v>43</v>
      </c>
      <c r="B48" s="77"/>
      <c r="C48" s="23">
        <v>3</v>
      </c>
      <c r="D48" s="24">
        <v>5.0999999999999996</v>
      </c>
      <c r="E48" s="93"/>
      <c r="F48" s="9">
        <v>2</v>
      </c>
      <c r="G48" s="109"/>
      <c r="H48" s="9">
        <v>6</v>
      </c>
      <c r="I48" s="100"/>
      <c r="J48" s="9">
        <v>8</v>
      </c>
      <c r="K48" s="96"/>
      <c r="L48" s="38">
        <v>5.7</v>
      </c>
      <c r="M48" s="103"/>
      <c r="N48" s="38">
        <v>0</v>
      </c>
      <c r="O48" s="103"/>
      <c r="P48" s="38">
        <v>19</v>
      </c>
      <c r="Q48" s="103"/>
      <c r="R48" s="38">
        <v>11</v>
      </c>
      <c r="S48" s="103"/>
      <c r="T48" s="22">
        <v>99.9</v>
      </c>
      <c r="U48" s="106"/>
    </row>
    <row r="49" spans="1:21">
      <c r="A49" s="6">
        <v>44</v>
      </c>
      <c r="B49" s="77"/>
      <c r="C49" s="23">
        <v>4</v>
      </c>
      <c r="D49" s="24">
        <v>4.5</v>
      </c>
      <c r="E49" s="93"/>
      <c r="F49" s="9">
        <v>1</v>
      </c>
      <c r="G49" s="109"/>
      <c r="H49" s="9">
        <v>2</v>
      </c>
      <c r="I49" s="100"/>
      <c r="J49" s="9">
        <v>4</v>
      </c>
      <c r="K49" s="96"/>
      <c r="L49" s="38">
        <v>6</v>
      </c>
      <c r="M49" s="103"/>
      <c r="N49" s="38">
        <v>0</v>
      </c>
      <c r="O49" s="103"/>
      <c r="P49" s="38">
        <v>28</v>
      </c>
      <c r="Q49" s="103"/>
      <c r="R49" s="38">
        <v>20</v>
      </c>
      <c r="S49" s="103"/>
      <c r="T49" s="22">
        <v>100</v>
      </c>
      <c r="U49" s="106"/>
    </row>
    <row r="50" spans="1:21">
      <c r="A50" s="6">
        <v>45</v>
      </c>
      <c r="B50" s="77"/>
      <c r="C50" s="23">
        <v>5</v>
      </c>
      <c r="D50" s="24">
        <v>4.7</v>
      </c>
      <c r="E50" s="94"/>
      <c r="F50" s="9">
        <v>2</v>
      </c>
      <c r="G50" s="110"/>
      <c r="H50" s="9">
        <v>3</v>
      </c>
      <c r="I50" s="101"/>
      <c r="J50" s="9">
        <v>6</v>
      </c>
      <c r="K50" s="97"/>
      <c r="L50" s="38">
        <v>6</v>
      </c>
      <c r="M50" s="104"/>
      <c r="N50" s="38">
        <v>0</v>
      </c>
      <c r="O50" s="104"/>
      <c r="P50" s="38">
        <v>23</v>
      </c>
      <c r="Q50" s="104"/>
      <c r="R50" s="38">
        <v>15</v>
      </c>
      <c r="S50" s="104"/>
      <c r="T50" s="22">
        <v>100</v>
      </c>
      <c r="U50" s="107"/>
    </row>
    <row r="51" spans="1:21">
      <c r="A51" s="6">
        <v>46</v>
      </c>
      <c r="B51" s="77" t="s">
        <v>17</v>
      </c>
      <c r="C51" s="23">
        <v>1</v>
      </c>
      <c r="D51" s="24">
        <v>5.3</v>
      </c>
      <c r="E51" s="92">
        <f t="shared" ref="E51" si="69">AVERAGE(D51:D55)</f>
        <v>5.68</v>
      </c>
      <c r="F51" s="9">
        <v>10</v>
      </c>
      <c r="G51" s="108">
        <f t="shared" ref="G51" si="70">AVERAGE(F51:F55)</f>
        <v>5.8</v>
      </c>
      <c r="H51" s="9">
        <v>26</v>
      </c>
      <c r="I51" s="99">
        <f t="shared" ref="I51" si="71">AVERAGE(H51:H55)</f>
        <v>11.6</v>
      </c>
      <c r="J51" s="9">
        <v>34</v>
      </c>
      <c r="K51" s="95">
        <f t="shared" ref="K51" si="72">AVERAGE(J51:J55)</f>
        <v>18.2</v>
      </c>
      <c r="L51" s="38">
        <v>5.5</v>
      </c>
      <c r="M51" s="102">
        <f t="shared" ref="M51" si="73">AVERAGE(L51:L55)</f>
        <v>5.5400000000000009</v>
      </c>
      <c r="N51" s="38">
        <v>21</v>
      </c>
      <c r="O51" s="102">
        <f t="shared" ref="O51" si="74">AVERAGE(N51:N55)</f>
        <v>19.8</v>
      </c>
      <c r="P51" s="38">
        <v>94</v>
      </c>
      <c r="Q51" s="102">
        <f t="shared" ref="Q51" si="75">AVERAGE(P51:P55)</f>
        <v>93</v>
      </c>
      <c r="R51" s="38">
        <v>87</v>
      </c>
      <c r="S51" s="102">
        <f t="shared" ref="S51" si="76">AVERAGE(R51:R55)</f>
        <v>85.8</v>
      </c>
      <c r="T51" s="22">
        <v>100</v>
      </c>
      <c r="U51" s="105">
        <f t="shared" ref="U51" si="77">AVERAGE(T51:T55)</f>
        <v>100</v>
      </c>
    </row>
    <row r="52" spans="1:21">
      <c r="A52" s="6">
        <v>47</v>
      </c>
      <c r="B52" s="77"/>
      <c r="C52" s="23">
        <v>2</v>
      </c>
      <c r="D52" s="24">
        <v>6.1</v>
      </c>
      <c r="E52" s="93"/>
      <c r="F52" s="9">
        <v>6</v>
      </c>
      <c r="G52" s="109"/>
      <c r="H52" s="9">
        <v>10</v>
      </c>
      <c r="I52" s="100"/>
      <c r="J52" s="9">
        <v>18</v>
      </c>
      <c r="K52" s="96"/>
      <c r="L52" s="38">
        <v>5.5</v>
      </c>
      <c r="M52" s="103"/>
      <c r="N52" s="38">
        <v>19</v>
      </c>
      <c r="O52" s="103"/>
      <c r="P52" s="38">
        <v>91</v>
      </c>
      <c r="Q52" s="103"/>
      <c r="R52" s="38">
        <v>84</v>
      </c>
      <c r="S52" s="103"/>
      <c r="T52" s="22">
        <v>100</v>
      </c>
      <c r="U52" s="106"/>
    </row>
    <row r="53" spans="1:21">
      <c r="A53" s="6">
        <v>48</v>
      </c>
      <c r="B53" s="77"/>
      <c r="C53" s="23">
        <v>3</v>
      </c>
      <c r="D53" s="24">
        <v>6</v>
      </c>
      <c r="E53" s="93"/>
      <c r="F53" s="9">
        <v>4</v>
      </c>
      <c r="G53" s="109"/>
      <c r="H53" s="9">
        <v>8</v>
      </c>
      <c r="I53" s="100"/>
      <c r="J53" s="9">
        <v>14</v>
      </c>
      <c r="K53" s="96"/>
      <c r="L53" s="38">
        <v>5.5</v>
      </c>
      <c r="M53" s="103"/>
      <c r="N53" s="38">
        <v>21</v>
      </c>
      <c r="O53" s="103"/>
      <c r="P53" s="38">
        <v>96</v>
      </c>
      <c r="Q53" s="103"/>
      <c r="R53" s="38">
        <v>89</v>
      </c>
      <c r="S53" s="103"/>
      <c r="T53" s="22">
        <v>100</v>
      </c>
      <c r="U53" s="106"/>
    </row>
    <row r="54" spans="1:21">
      <c r="A54" s="6">
        <v>49</v>
      </c>
      <c r="B54" s="77"/>
      <c r="C54" s="23">
        <v>4</v>
      </c>
      <c r="D54" s="24">
        <v>5.2</v>
      </c>
      <c r="E54" s="93"/>
      <c r="F54" s="9">
        <v>4</v>
      </c>
      <c r="G54" s="109"/>
      <c r="H54" s="9">
        <v>6</v>
      </c>
      <c r="I54" s="100"/>
      <c r="J54" s="9">
        <v>10</v>
      </c>
      <c r="K54" s="96"/>
      <c r="L54" s="38">
        <v>5.6</v>
      </c>
      <c r="M54" s="103"/>
      <c r="N54" s="38">
        <v>18</v>
      </c>
      <c r="O54" s="103"/>
      <c r="P54" s="38">
        <v>89</v>
      </c>
      <c r="Q54" s="103"/>
      <c r="R54" s="38">
        <v>82</v>
      </c>
      <c r="S54" s="103"/>
      <c r="T54" s="22">
        <v>100</v>
      </c>
      <c r="U54" s="106"/>
    </row>
    <row r="55" spans="1:21">
      <c r="A55" s="6">
        <v>50</v>
      </c>
      <c r="B55" s="77"/>
      <c r="C55" s="23">
        <v>5</v>
      </c>
      <c r="D55" s="24">
        <v>5.8</v>
      </c>
      <c r="E55" s="94"/>
      <c r="F55" s="9">
        <v>5</v>
      </c>
      <c r="G55" s="110"/>
      <c r="H55" s="9">
        <v>8</v>
      </c>
      <c r="I55" s="101"/>
      <c r="J55" s="9">
        <v>15</v>
      </c>
      <c r="K55" s="97"/>
      <c r="L55" s="38">
        <v>5.6</v>
      </c>
      <c r="M55" s="104"/>
      <c r="N55" s="38">
        <v>20</v>
      </c>
      <c r="O55" s="104"/>
      <c r="P55" s="38">
        <v>95</v>
      </c>
      <c r="Q55" s="104"/>
      <c r="R55" s="38">
        <v>87</v>
      </c>
      <c r="S55" s="104"/>
      <c r="T55" s="22">
        <v>100</v>
      </c>
      <c r="U55" s="107"/>
    </row>
    <row r="56" spans="1:21">
      <c r="A56" s="6">
        <v>51</v>
      </c>
      <c r="B56" s="76" t="s">
        <v>7</v>
      </c>
      <c r="C56" s="7">
        <v>1</v>
      </c>
      <c r="D56" s="8">
        <v>5.4</v>
      </c>
      <c r="E56" s="92">
        <f t="shared" ref="E56" si="78">AVERAGE(D56:D60)</f>
        <v>5.72</v>
      </c>
      <c r="F56" s="9">
        <v>20</v>
      </c>
      <c r="G56" s="108">
        <f t="shared" ref="G56" si="79">AVERAGE(F56:F60)</f>
        <v>14.6</v>
      </c>
      <c r="H56" s="9">
        <v>32</v>
      </c>
      <c r="I56" s="99">
        <f t="shared" ref="I56" si="80">AVERAGE(H56:H60)</f>
        <v>31.8</v>
      </c>
      <c r="J56" s="9">
        <v>56</v>
      </c>
      <c r="K56" s="95">
        <f t="shared" ref="K56" si="81">AVERAGE(J56:J60)</f>
        <v>39.200000000000003</v>
      </c>
      <c r="L56" s="37">
        <v>5.7</v>
      </c>
      <c r="M56" s="102">
        <f t="shared" ref="M56" si="82">AVERAGE(L56:L60)</f>
        <v>6.0600000000000005</v>
      </c>
      <c r="N56" s="37">
        <v>65</v>
      </c>
      <c r="O56" s="102">
        <f t="shared" ref="O56" si="83">AVERAGE(N56:N60)</f>
        <v>72.2</v>
      </c>
      <c r="P56" s="37">
        <v>197</v>
      </c>
      <c r="Q56" s="102">
        <f t="shared" ref="Q56" si="84">AVERAGE(P56:P60)</f>
        <v>213</v>
      </c>
      <c r="R56" s="37">
        <v>190</v>
      </c>
      <c r="S56" s="102">
        <f t="shared" ref="S56" si="85">AVERAGE(R56:R60)</f>
        <v>206.6</v>
      </c>
      <c r="T56" s="10">
        <v>68.8</v>
      </c>
      <c r="U56" s="105">
        <f t="shared" ref="U56" si="86">AVERAGE(T56:T60)</f>
        <v>74.5</v>
      </c>
    </row>
    <row r="57" spans="1:21">
      <c r="A57" s="6">
        <v>52</v>
      </c>
      <c r="B57" s="76"/>
      <c r="C57" s="7">
        <v>2</v>
      </c>
      <c r="D57" s="8">
        <v>6.4</v>
      </c>
      <c r="E57" s="93"/>
      <c r="F57" s="9">
        <v>15</v>
      </c>
      <c r="G57" s="109"/>
      <c r="H57" s="9">
        <v>58</v>
      </c>
      <c r="I57" s="100"/>
      <c r="J57" s="9">
        <v>36</v>
      </c>
      <c r="K57" s="96"/>
      <c r="L57" s="37">
        <v>6.1</v>
      </c>
      <c r="M57" s="103"/>
      <c r="N57" s="37">
        <v>83</v>
      </c>
      <c r="O57" s="103"/>
      <c r="P57" s="37">
        <v>238</v>
      </c>
      <c r="Q57" s="103"/>
      <c r="R57" s="37">
        <v>232</v>
      </c>
      <c r="S57" s="103"/>
      <c r="T57" s="10">
        <v>67</v>
      </c>
      <c r="U57" s="106"/>
    </row>
    <row r="58" spans="1:21">
      <c r="A58" s="6">
        <v>53</v>
      </c>
      <c r="B58" s="76"/>
      <c r="C58" s="7">
        <v>3</v>
      </c>
      <c r="D58" s="8">
        <v>6.1</v>
      </c>
      <c r="E58" s="93"/>
      <c r="F58" s="9">
        <v>12</v>
      </c>
      <c r="G58" s="109"/>
      <c r="H58" s="9">
        <v>32</v>
      </c>
      <c r="I58" s="100"/>
      <c r="J58" s="9">
        <v>27</v>
      </c>
      <c r="K58" s="96"/>
      <c r="L58" s="37">
        <v>6.2</v>
      </c>
      <c r="M58" s="103"/>
      <c r="N58" s="37">
        <v>60</v>
      </c>
      <c r="O58" s="103"/>
      <c r="P58" s="37">
        <v>184</v>
      </c>
      <c r="Q58" s="103"/>
      <c r="R58" s="37">
        <v>178</v>
      </c>
      <c r="S58" s="103"/>
      <c r="T58" s="10">
        <v>74.2</v>
      </c>
      <c r="U58" s="106"/>
    </row>
    <row r="59" spans="1:21">
      <c r="A59" s="6">
        <v>54</v>
      </c>
      <c r="B59" s="76"/>
      <c r="C59" s="7">
        <v>4</v>
      </c>
      <c r="D59" s="8">
        <v>5.7</v>
      </c>
      <c r="E59" s="93"/>
      <c r="F59" s="9">
        <v>14</v>
      </c>
      <c r="G59" s="109"/>
      <c r="H59" s="9">
        <v>16</v>
      </c>
      <c r="I59" s="100"/>
      <c r="J59" s="9">
        <v>36</v>
      </c>
      <c r="K59" s="96"/>
      <c r="L59" s="37">
        <v>6.1</v>
      </c>
      <c r="M59" s="103"/>
      <c r="N59" s="37">
        <v>82</v>
      </c>
      <c r="O59" s="103"/>
      <c r="P59" s="37">
        <v>236</v>
      </c>
      <c r="Q59" s="103"/>
      <c r="R59" s="37">
        <v>229</v>
      </c>
      <c r="S59" s="103"/>
      <c r="T59" s="10">
        <v>76.599999999999994</v>
      </c>
      <c r="U59" s="106"/>
    </row>
    <row r="60" spans="1:21">
      <c r="A60" s="6">
        <v>55</v>
      </c>
      <c r="B60" s="76"/>
      <c r="C60" s="7">
        <v>5</v>
      </c>
      <c r="D60" s="8">
        <v>5</v>
      </c>
      <c r="E60" s="94"/>
      <c r="F60" s="9">
        <v>12</v>
      </c>
      <c r="G60" s="110"/>
      <c r="H60" s="9">
        <v>21</v>
      </c>
      <c r="I60" s="101"/>
      <c r="J60" s="9">
        <v>41</v>
      </c>
      <c r="K60" s="97"/>
      <c r="L60" s="37">
        <v>6.2</v>
      </c>
      <c r="M60" s="104"/>
      <c r="N60" s="37">
        <v>71</v>
      </c>
      <c r="O60" s="104"/>
      <c r="P60" s="37">
        <v>210</v>
      </c>
      <c r="Q60" s="104"/>
      <c r="R60" s="37">
        <v>204</v>
      </c>
      <c r="S60" s="104"/>
      <c r="T60" s="10">
        <v>85.9</v>
      </c>
      <c r="U60" s="107"/>
    </row>
    <row r="61" spans="1:21">
      <c r="A61" s="6">
        <v>56</v>
      </c>
      <c r="B61" s="76" t="s">
        <v>8</v>
      </c>
      <c r="C61" s="7">
        <v>1</v>
      </c>
      <c r="D61" s="8">
        <v>4.8</v>
      </c>
      <c r="E61" s="92">
        <f t="shared" ref="E61" si="87">AVERAGE(D61:D65)</f>
        <v>5.24</v>
      </c>
      <c r="F61" s="9">
        <v>12</v>
      </c>
      <c r="G61" s="108">
        <f t="shared" ref="G61" si="88">AVERAGE(F61:F65)</f>
        <v>21.4</v>
      </c>
      <c r="H61" s="9">
        <v>27</v>
      </c>
      <c r="I61" s="99">
        <f t="shared" ref="I61" si="89">AVERAGE(H61:H65)</f>
        <v>37</v>
      </c>
      <c r="J61" s="9">
        <v>45</v>
      </c>
      <c r="K61" s="95">
        <f t="shared" ref="K61" si="90">AVERAGE(J61:J65)</f>
        <v>69.599999999999994</v>
      </c>
      <c r="L61" s="37">
        <v>6</v>
      </c>
      <c r="M61" s="102">
        <f t="shared" ref="M61" si="91">AVERAGE(L61:L65)</f>
        <v>6.08</v>
      </c>
      <c r="N61" s="37">
        <v>65</v>
      </c>
      <c r="O61" s="102">
        <f t="shared" ref="O61" si="92">AVERAGE(N61:N65)</f>
        <v>78.599999999999994</v>
      </c>
      <c r="P61" s="37">
        <v>197</v>
      </c>
      <c r="Q61" s="102">
        <f t="shared" ref="Q61" si="93">AVERAGE(P61:P65)</f>
        <v>228.2</v>
      </c>
      <c r="R61" s="37">
        <v>190</v>
      </c>
      <c r="S61" s="102">
        <f t="shared" ref="S61" si="94">AVERAGE(R61:R65)</f>
        <v>221.8</v>
      </c>
      <c r="T61" s="10">
        <v>68.8</v>
      </c>
      <c r="U61" s="105">
        <f t="shared" ref="U61" si="95">AVERAGE(T61:T65)</f>
        <v>74.5</v>
      </c>
    </row>
    <row r="62" spans="1:21">
      <c r="A62" s="6">
        <v>57</v>
      </c>
      <c r="B62" s="76"/>
      <c r="C62" s="7">
        <v>2</v>
      </c>
      <c r="D62" s="8">
        <v>5.3</v>
      </c>
      <c r="E62" s="93"/>
      <c r="F62" s="9">
        <v>27</v>
      </c>
      <c r="G62" s="109"/>
      <c r="H62" s="9">
        <v>44</v>
      </c>
      <c r="I62" s="100"/>
      <c r="J62" s="9">
        <v>88</v>
      </c>
      <c r="K62" s="96"/>
      <c r="L62" s="37">
        <v>6.1</v>
      </c>
      <c r="M62" s="103"/>
      <c r="N62" s="37">
        <v>70</v>
      </c>
      <c r="O62" s="103"/>
      <c r="P62" s="37">
        <v>208</v>
      </c>
      <c r="Q62" s="103"/>
      <c r="R62" s="37">
        <v>202</v>
      </c>
      <c r="S62" s="103"/>
      <c r="T62" s="10">
        <v>67</v>
      </c>
      <c r="U62" s="106"/>
    </row>
    <row r="63" spans="1:21">
      <c r="A63" s="6">
        <v>58</v>
      </c>
      <c r="B63" s="76"/>
      <c r="C63" s="7">
        <v>3</v>
      </c>
      <c r="D63" s="8">
        <v>5.3</v>
      </c>
      <c r="E63" s="93"/>
      <c r="F63" s="9">
        <v>22</v>
      </c>
      <c r="G63" s="109"/>
      <c r="H63" s="9">
        <v>32</v>
      </c>
      <c r="I63" s="100"/>
      <c r="J63" s="9">
        <v>58</v>
      </c>
      <c r="K63" s="96"/>
      <c r="L63" s="37">
        <v>6.1</v>
      </c>
      <c r="M63" s="103"/>
      <c r="N63" s="37">
        <v>71</v>
      </c>
      <c r="O63" s="103"/>
      <c r="P63" s="37">
        <v>210</v>
      </c>
      <c r="Q63" s="103"/>
      <c r="R63" s="37">
        <v>204</v>
      </c>
      <c r="S63" s="103"/>
      <c r="T63" s="10">
        <v>74.2</v>
      </c>
      <c r="U63" s="106"/>
    </row>
    <row r="64" spans="1:21">
      <c r="A64" s="6">
        <v>59</v>
      </c>
      <c r="B64" s="76"/>
      <c r="C64" s="7">
        <v>4</v>
      </c>
      <c r="D64" s="8">
        <v>5</v>
      </c>
      <c r="E64" s="93"/>
      <c r="F64" s="9">
        <v>28</v>
      </c>
      <c r="G64" s="109"/>
      <c r="H64" s="9">
        <v>43</v>
      </c>
      <c r="I64" s="100"/>
      <c r="J64" s="9">
        <v>80</v>
      </c>
      <c r="K64" s="96"/>
      <c r="L64" s="37">
        <v>6.1</v>
      </c>
      <c r="M64" s="103"/>
      <c r="N64" s="37">
        <v>82</v>
      </c>
      <c r="O64" s="103"/>
      <c r="P64" s="37">
        <v>236</v>
      </c>
      <c r="Q64" s="103"/>
      <c r="R64" s="37">
        <v>229</v>
      </c>
      <c r="S64" s="103"/>
      <c r="T64" s="10">
        <v>76.599999999999994</v>
      </c>
      <c r="U64" s="106"/>
    </row>
    <row r="65" spans="1:21">
      <c r="A65" s="6">
        <v>60</v>
      </c>
      <c r="B65" s="76"/>
      <c r="C65" s="7">
        <v>5</v>
      </c>
      <c r="D65" s="8">
        <v>5.8</v>
      </c>
      <c r="E65" s="94"/>
      <c r="F65" s="9">
        <v>18</v>
      </c>
      <c r="G65" s="110"/>
      <c r="H65" s="9">
        <v>39</v>
      </c>
      <c r="I65" s="101"/>
      <c r="J65" s="9">
        <v>77</v>
      </c>
      <c r="K65" s="97"/>
      <c r="L65" s="37">
        <v>6.1</v>
      </c>
      <c r="M65" s="104"/>
      <c r="N65" s="37">
        <v>105</v>
      </c>
      <c r="O65" s="104"/>
      <c r="P65" s="37">
        <v>290</v>
      </c>
      <c r="Q65" s="104"/>
      <c r="R65" s="37">
        <v>284</v>
      </c>
      <c r="S65" s="104"/>
      <c r="T65" s="10">
        <v>85.9</v>
      </c>
      <c r="U65" s="107"/>
    </row>
    <row r="66" spans="1:21">
      <c r="A66" s="6">
        <v>61</v>
      </c>
      <c r="B66" s="76" t="s">
        <v>9</v>
      </c>
      <c r="C66" s="7">
        <v>1</v>
      </c>
      <c r="D66" s="8">
        <v>5.5</v>
      </c>
      <c r="E66" s="92">
        <f t="shared" ref="E66" si="96">AVERAGE(D66:D70)</f>
        <v>5.5400000000000009</v>
      </c>
      <c r="F66" s="9">
        <v>8</v>
      </c>
      <c r="G66" s="108">
        <f t="shared" ref="G66" si="97">AVERAGE(F66:F70)</f>
        <v>6.4</v>
      </c>
      <c r="H66" s="9">
        <v>13</v>
      </c>
      <c r="I66" s="99">
        <f t="shared" ref="I66" si="98">AVERAGE(H66:H70)</f>
        <v>11.8</v>
      </c>
      <c r="J66" s="9">
        <v>28</v>
      </c>
      <c r="K66" s="95">
        <f t="shared" ref="K66" si="99">AVERAGE(J66:J70)</f>
        <v>22.6</v>
      </c>
      <c r="L66" s="37">
        <v>5.4</v>
      </c>
      <c r="M66" s="102">
        <f t="shared" ref="M66" si="100">AVERAGE(L66:L70)</f>
        <v>5.54</v>
      </c>
      <c r="N66" s="37">
        <v>16</v>
      </c>
      <c r="O66" s="102">
        <f t="shared" ref="O66" si="101">AVERAGE(N66:N70)</f>
        <v>15.8</v>
      </c>
      <c r="P66" s="37">
        <v>84</v>
      </c>
      <c r="Q66" s="102">
        <f t="shared" ref="Q66" si="102">AVERAGE(P66:P70)</f>
        <v>83</v>
      </c>
      <c r="R66" s="37">
        <v>77</v>
      </c>
      <c r="S66" s="102">
        <f t="shared" ref="S66" si="103">AVERAGE(R66:R70)</f>
        <v>75.400000000000006</v>
      </c>
      <c r="T66" s="10">
        <v>88.1</v>
      </c>
      <c r="U66" s="105">
        <f t="shared" ref="U66" si="104">AVERAGE(T66:T70)</f>
        <v>72.179999999999993</v>
      </c>
    </row>
    <row r="67" spans="1:21">
      <c r="A67" s="6">
        <v>62</v>
      </c>
      <c r="B67" s="76"/>
      <c r="C67" s="7">
        <v>2</v>
      </c>
      <c r="D67" s="8">
        <v>5.5</v>
      </c>
      <c r="E67" s="93"/>
      <c r="F67" s="9">
        <v>5</v>
      </c>
      <c r="G67" s="109"/>
      <c r="H67" s="9">
        <v>7</v>
      </c>
      <c r="I67" s="100"/>
      <c r="J67" s="9">
        <v>14</v>
      </c>
      <c r="K67" s="96"/>
      <c r="L67" s="37">
        <v>5.5</v>
      </c>
      <c r="M67" s="103"/>
      <c r="N67" s="37">
        <v>21</v>
      </c>
      <c r="O67" s="103"/>
      <c r="P67" s="37">
        <v>95</v>
      </c>
      <c r="Q67" s="103"/>
      <c r="R67" s="37">
        <v>88</v>
      </c>
      <c r="S67" s="103"/>
      <c r="T67" s="10">
        <v>90</v>
      </c>
      <c r="U67" s="106"/>
    </row>
    <row r="68" spans="1:21">
      <c r="A68" s="6">
        <v>63</v>
      </c>
      <c r="B68" s="76"/>
      <c r="C68" s="7">
        <v>3</v>
      </c>
      <c r="D68" s="8">
        <v>5.0999999999999996</v>
      </c>
      <c r="E68" s="93"/>
      <c r="F68" s="9">
        <v>6</v>
      </c>
      <c r="G68" s="109"/>
      <c r="H68" s="9">
        <v>14</v>
      </c>
      <c r="I68" s="100"/>
      <c r="J68" s="9">
        <v>26</v>
      </c>
      <c r="K68" s="96"/>
      <c r="L68" s="37">
        <v>5.5</v>
      </c>
      <c r="M68" s="103"/>
      <c r="N68" s="37">
        <v>10</v>
      </c>
      <c r="O68" s="103"/>
      <c r="P68" s="37">
        <v>70</v>
      </c>
      <c r="Q68" s="103"/>
      <c r="R68" s="37">
        <v>62</v>
      </c>
      <c r="S68" s="103"/>
      <c r="T68" s="10">
        <v>86.1</v>
      </c>
      <c r="U68" s="106"/>
    </row>
    <row r="69" spans="1:21">
      <c r="A69" s="6">
        <v>64</v>
      </c>
      <c r="B69" s="76"/>
      <c r="C69" s="7">
        <v>4</v>
      </c>
      <c r="D69" s="8">
        <v>6.2</v>
      </c>
      <c r="E69" s="93"/>
      <c r="F69" s="9">
        <v>5</v>
      </c>
      <c r="G69" s="109"/>
      <c r="H69" s="9">
        <v>9</v>
      </c>
      <c r="I69" s="100"/>
      <c r="J69" s="9">
        <v>15</v>
      </c>
      <c r="K69" s="96"/>
      <c r="L69" s="37">
        <v>5.6</v>
      </c>
      <c r="M69" s="103"/>
      <c r="N69" s="37">
        <v>19</v>
      </c>
      <c r="O69" s="103"/>
      <c r="P69" s="37">
        <v>90</v>
      </c>
      <c r="Q69" s="103"/>
      <c r="R69" s="37">
        <v>82</v>
      </c>
      <c r="S69" s="103"/>
      <c r="T69" s="10">
        <v>8.4</v>
      </c>
      <c r="U69" s="106"/>
    </row>
    <row r="70" spans="1:21">
      <c r="A70" s="6">
        <v>65</v>
      </c>
      <c r="B70" s="76"/>
      <c r="C70" s="7">
        <v>5</v>
      </c>
      <c r="D70" s="8">
        <v>5.4</v>
      </c>
      <c r="E70" s="94"/>
      <c r="F70" s="9">
        <v>8</v>
      </c>
      <c r="G70" s="110"/>
      <c r="H70" s="9">
        <v>16</v>
      </c>
      <c r="I70" s="101"/>
      <c r="J70" s="9">
        <v>30</v>
      </c>
      <c r="K70" s="97"/>
      <c r="L70" s="37">
        <v>5.7</v>
      </c>
      <c r="M70" s="104"/>
      <c r="N70" s="37">
        <v>13</v>
      </c>
      <c r="O70" s="104"/>
      <c r="P70" s="37">
        <v>76</v>
      </c>
      <c r="Q70" s="104"/>
      <c r="R70" s="37">
        <v>68</v>
      </c>
      <c r="S70" s="104"/>
      <c r="T70" s="10">
        <v>88.3</v>
      </c>
      <c r="U70" s="107"/>
    </row>
    <row r="71" spans="1:21">
      <c r="A71" s="6">
        <v>66</v>
      </c>
      <c r="B71" s="76" t="s">
        <v>65</v>
      </c>
      <c r="C71" s="7">
        <v>1</v>
      </c>
      <c r="D71" s="8">
        <v>5.5</v>
      </c>
      <c r="E71" s="92">
        <f t="shared" ref="E71" si="105">AVERAGE(D71:D75)</f>
        <v>5.46</v>
      </c>
      <c r="F71" s="9">
        <v>4</v>
      </c>
      <c r="G71" s="108">
        <f t="shared" ref="G71" si="106">AVERAGE(F71:F75)</f>
        <v>4.5999999999999996</v>
      </c>
      <c r="H71" s="9">
        <v>9</v>
      </c>
      <c r="I71" s="99">
        <f t="shared" ref="I71" si="107">AVERAGE(H71:H75)</f>
        <v>6</v>
      </c>
      <c r="J71" s="9">
        <v>29</v>
      </c>
      <c r="K71" s="95">
        <f t="shared" ref="K71" si="108">AVERAGE(J71:J75)</f>
        <v>15</v>
      </c>
      <c r="L71" s="37">
        <v>6.1</v>
      </c>
      <c r="M71" s="102">
        <f t="shared" ref="M71" si="109">AVERAGE(L71:L75)</f>
        <v>6.18</v>
      </c>
      <c r="N71" s="37">
        <v>0</v>
      </c>
      <c r="O71" s="102">
        <f t="shared" ref="O71" si="110">AVERAGE(N71:N75)</f>
        <v>0</v>
      </c>
      <c r="P71" s="37">
        <v>30</v>
      </c>
      <c r="Q71" s="102">
        <f t="shared" ref="Q71" si="111">AVERAGE(P71:P75)</f>
        <v>31.8</v>
      </c>
      <c r="R71" s="37">
        <v>22</v>
      </c>
      <c r="S71" s="102">
        <f t="shared" ref="S71" si="112">AVERAGE(R71:R75)</f>
        <v>24.4</v>
      </c>
      <c r="T71" s="10">
        <v>93.5</v>
      </c>
      <c r="U71" s="105">
        <f t="shared" ref="U71" si="113">AVERAGE(T71:T75)</f>
        <v>96.88</v>
      </c>
    </row>
    <row r="72" spans="1:21">
      <c r="A72" s="6">
        <v>67</v>
      </c>
      <c r="B72" s="76"/>
      <c r="C72" s="7">
        <v>2</v>
      </c>
      <c r="D72" s="8">
        <v>5</v>
      </c>
      <c r="E72" s="93"/>
      <c r="F72" s="9">
        <v>5</v>
      </c>
      <c r="G72" s="109"/>
      <c r="H72" s="9">
        <v>4</v>
      </c>
      <c r="I72" s="100"/>
      <c r="J72" s="9">
        <v>10</v>
      </c>
      <c r="K72" s="96"/>
      <c r="L72" s="37">
        <v>6.1</v>
      </c>
      <c r="M72" s="103"/>
      <c r="N72" s="37">
        <v>0</v>
      </c>
      <c r="O72" s="103"/>
      <c r="P72" s="37">
        <v>35</v>
      </c>
      <c r="Q72" s="103"/>
      <c r="R72" s="37">
        <v>28</v>
      </c>
      <c r="S72" s="103"/>
      <c r="T72" s="10">
        <v>98.7</v>
      </c>
      <c r="U72" s="106"/>
    </row>
    <row r="73" spans="1:21">
      <c r="A73" s="6">
        <v>68</v>
      </c>
      <c r="B73" s="76"/>
      <c r="C73" s="7">
        <v>3</v>
      </c>
      <c r="D73" s="8">
        <v>5.4</v>
      </c>
      <c r="E73" s="93"/>
      <c r="F73" s="9">
        <v>2</v>
      </c>
      <c r="G73" s="109"/>
      <c r="H73" s="9">
        <v>2</v>
      </c>
      <c r="I73" s="100"/>
      <c r="J73" s="9">
        <v>4</v>
      </c>
      <c r="K73" s="96"/>
      <c r="L73" s="37">
        <v>6.2</v>
      </c>
      <c r="M73" s="103"/>
      <c r="N73" s="37">
        <v>0</v>
      </c>
      <c r="O73" s="103"/>
      <c r="P73" s="37">
        <v>29</v>
      </c>
      <c r="Q73" s="103"/>
      <c r="R73" s="37">
        <v>22</v>
      </c>
      <c r="S73" s="103"/>
      <c r="T73" s="10">
        <v>92.6</v>
      </c>
      <c r="U73" s="106"/>
    </row>
    <row r="74" spans="1:21">
      <c r="A74" s="6">
        <v>69</v>
      </c>
      <c r="B74" s="76"/>
      <c r="C74" s="7">
        <v>4</v>
      </c>
      <c r="D74" s="8">
        <v>5.2</v>
      </c>
      <c r="E74" s="93"/>
      <c r="F74" s="9">
        <v>3</v>
      </c>
      <c r="G74" s="109"/>
      <c r="H74" s="9">
        <v>6</v>
      </c>
      <c r="I74" s="100"/>
      <c r="J74" s="9">
        <v>11</v>
      </c>
      <c r="K74" s="96"/>
      <c r="L74" s="37">
        <v>6.2</v>
      </c>
      <c r="M74" s="103"/>
      <c r="N74" s="37">
        <v>0</v>
      </c>
      <c r="O74" s="103"/>
      <c r="P74" s="37">
        <v>32</v>
      </c>
      <c r="Q74" s="103"/>
      <c r="R74" s="37">
        <v>24</v>
      </c>
      <c r="S74" s="103"/>
      <c r="T74" s="10">
        <v>99.6</v>
      </c>
      <c r="U74" s="106"/>
    </row>
    <row r="75" spans="1:21">
      <c r="A75" s="6">
        <v>70</v>
      </c>
      <c r="B75" s="76"/>
      <c r="C75" s="7">
        <v>5</v>
      </c>
      <c r="D75" s="8">
        <v>6.2</v>
      </c>
      <c r="E75" s="94"/>
      <c r="F75" s="9">
        <v>9</v>
      </c>
      <c r="G75" s="110"/>
      <c r="H75" s="9">
        <v>9</v>
      </c>
      <c r="I75" s="101"/>
      <c r="J75" s="9">
        <v>21</v>
      </c>
      <c r="K75" s="97"/>
      <c r="L75" s="37">
        <v>6.3</v>
      </c>
      <c r="M75" s="104"/>
      <c r="N75" s="37">
        <v>0</v>
      </c>
      <c r="O75" s="104"/>
      <c r="P75" s="37">
        <v>33</v>
      </c>
      <c r="Q75" s="104"/>
      <c r="R75" s="37">
        <v>26</v>
      </c>
      <c r="S75" s="104"/>
      <c r="T75" s="10">
        <v>100</v>
      </c>
      <c r="U75" s="107"/>
    </row>
    <row r="76" spans="1:21">
      <c r="A76" s="6">
        <v>71</v>
      </c>
      <c r="B76" s="76" t="s">
        <v>67</v>
      </c>
      <c r="C76" s="7">
        <v>1</v>
      </c>
      <c r="D76" s="8">
        <v>5.3</v>
      </c>
      <c r="E76" s="92">
        <f t="shared" ref="E76" si="114">AVERAGE(D76:D80)</f>
        <v>5.4599999999999991</v>
      </c>
      <c r="F76" s="9">
        <v>2</v>
      </c>
      <c r="G76" s="108">
        <f t="shared" ref="G76" si="115">AVERAGE(F76:F80)</f>
        <v>2.2000000000000002</v>
      </c>
      <c r="H76" s="9">
        <v>9</v>
      </c>
      <c r="I76" s="99">
        <f t="shared" ref="I76" si="116">AVERAGE(H76:H80)</f>
        <v>8.6</v>
      </c>
      <c r="J76" s="9">
        <v>9</v>
      </c>
      <c r="K76" s="95">
        <f t="shared" ref="K76" si="117">AVERAGE(J76:J80)</f>
        <v>11.2</v>
      </c>
      <c r="L76" s="37">
        <v>5.9</v>
      </c>
      <c r="M76" s="102">
        <f t="shared" ref="M76" si="118">AVERAGE(L76:L80)</f>
        <v>6.24</v>
      </c>
      <c r="N76" s="37">
        <v>0</v>
      </c>
      <c r="O76" s="102">
        <f t="shared" ref="O76" si="119">AVERAGE(N76:N80)</f>
        <v>0</v>
      </c>
      <c r="P76" s="37">
        <v>43</v>
      </c>
      <c r="Q76" s="102">
        <f t="shared" ref="Q76" si="120">AVERAGE(P76:P80)</f>
        <v>40.6</v>
      </c>
      <c r="R76" s="37">
        <v>35</v>
      </c>
      <c r="S76" s="102">
        <f t="shared" ref="S76" si="121">AVERAGE(R76:R80)</f>
        <v>32.799999999999997</v>
      </c>
      <c r="T76" s="10">
        <v>100</v>
      </c>
      <c r="U76" s="105">
        <f t="shared" ref="U76" si="122">AVERAGE(T76:T80)</f>
        <v>98.4</v>
      </c>
    </row>
    <row r="77" spans="1:21">
      <c r="A77" s="6">
        <v>72</v>
      </c>
      <c r="B77" s="76"/>
      <c r="C77" s="7">
        <v>2</v>
      </c>
      <c r="D77" s="8">
        <v>5.4</v>
      </c>
      <c r="E77" s="93"/>
      <c r="F77" s="9">
        <v>2</v>
      </c>
      <c r="G77" s="109"/>
      <c r="H77" s="9">
        <v>3</v>
      </c>
      <c r="I77" s="100"/>
      <c r="J77" s="9">
        <v>6</v>
      </c>
      <c r="K77" s="96"/>
      <c r="L77" s="37">
        <v>6.1</v>
      </c>
      <c r="M77" s="103"/>
      <c r="N77" s="37">
        <v>0</v>
      </c>
      <c r="O77" s="103"/>
      <c r="P77" s="37">
        <v>42</v>
      </c>
      <c r="Q77" s="103"/>
      <c r="R77" s="37">
        <v>34</v>
      </c>
      <c r="S77" s="103"/>
      <c r="T77" s="10">
        <v>92.8</v>
      </c>
      <c r="U77" s="106"/>
    </row>
    <row r="78" spans="1:21">
      <c r="A78" s="6">
        <v>73</v>
      </c>
      <c r="B78" s="76"/>
      <c r="C78" s="7">
        <v>3</v>
      </c>
      <c r="D78" s="8">
        <v>6.1</v>
      </c>
      <c r="E78" s="93"/>
      <c r="F78" s="9">
        <v>1</v>
      </c>
      <c r="G78" s="109"/>
      <c r="H78" s="9">
        <v>2</v>
      </c>
      <c r="I78" s="100"/>
      <c r="J78" s="9">
        <v>4</v>
      </c>
      <c r="K78" s="96"/>
      <c r="L78" s="37">
        <v>6.3</v>
      </c>
      <c r="M78" s="103"/>
      <c r="N78" s="37">
        <v>0</v>
      </c>
      <c r="O78" s="103"/>
      <c r="P78" s="37">
        <v>42</v>
      </c>
      <c r="Q78" s="103"/>
      <c r="R78" s="37">
        <v>34</v>
      </c>
      <c r="S78" s="103"/>
      <c r="T78" s="10">
        <v>100</v>
      </c>
      <c r="U78" s="106"/>
    </row>
    <row r="79" spans="1:21">
      <c r="A79" s="6">
        <v>74</v>
      </c>
      <c r="B79" s="76"/>
      <c r="C79" s="7">
        <v>4</v>
      </c>
      <c r="D79" s="8">
        <v>5.5</v>
      </c>
      <c r="E79" s="93"/>
      <c r="F79" s="9">
        <v>3</v>
      </c>
      <c r="G79" s="109"/>
      <c r="H79" s="9">
        <v>21</v>
      </c>
      <c r="I79" s="100"/>
      <c r="J79" s="9">
        <v>26</v>
      </c>
      <c r="K79" s="96"/>
      <c r="L79" s="37">
        <v>6.5</v>
      </c>
      <c r="M79" s="103"/>
      <c r="N79" s="37">
        <v>0</v>
      </c>
      <c r="O79" s="103"/>
      <c r="P79" s="37">
        <v>41</v>
      </c>
      <c r="Q79" s="103"/>
      <c r="R79" s="37">
        <v>33</v>
      </c>
      <c r="S79" s="103"/>
      <c r="T79" s="10">
        <v>100</v>
      </c>
      <c r="U79" s="106"/>
    </row>
    <row r="80" spans="1:21">
      <c r="A80" s="6">
        <v>75</v>
      </c>
      <c r="B80" s="76"/>
      <c r="C80" s="7">
        <v>5</v>
      </c>
      <c r="D80" s="8">
        <v>5</v>
      </c>
      <c r="E80" s="94"/>
      <c r="F80" s="9">
        <v>3</v>
      </c>
      <c r="G80" s="110"/>
      <c r="H80" s="9">
        <v>8</v>
      </c>
      <c r="I80" s="101"/>
      <c r="J80" s="9">
        <v>11</v>
      </c>
      <c r="K80" s="97"/>
      <c r="L80" s="37">
        <v>6.4</v>
      </c>
      <c r="M80" s="104"/>
      <c r="N80" s="37">
        <v>0</v>
      </c>
      <c r="O80" s="104"/>
      <c r="P80" s="37">
        <v>35</v>
      </c>
      <c r="Q80" s="104"/>
      <c r="R80" s="37">
        <v>28</v>
      </c>
      <c r="S80" s="104"/>
      <c r="T80" s="10">
        <v>99.2</v>
      </c>
      <c r="U80" s="107"/>
    </row>
    <row r="81" spans="1:21">
      <c r="A81" s="6">
        <v>76</v>
      </c>
      <c r="B81" s="77" t="s">
        <v>25</v>
      </c>
      <c r="C81" s="24">
        <v>1</v>
      </c>
      <c r="D81" s="24">
        <v>5.6</v>
      </c>
      <c r="E81" s="92">
        <f t="shared" ref="E81" si="123">AVERAGE(D81:D85)</f>
        <v>5.6</v>
      </c>
      <c r="F81" s="9">
        <v>32</v>
      </c>
      <c r="G81" s="108">
        <f t="shared" ref="G81" si="124">AVERAGE(F81:F85)</f>
        <v>13.6</v>
      </c>
      <c r="H81" s="9">
        <v>77</v>
      </c>
      <c r="I81" s="99">
        <f t="shared" ref="I81" si="125">AVERAGE(H81:H85)</f>
        <v>30.8</v>
      </c>
      <c r="J81" s="9">
        <v>112</v>
      </c>
      <c r="K81" s="95">
        <f t="shared" ref="K81" si="126">AVERAGE(J81:J85)</f>
        <v>52.4</v>
      </c>
      <c r="L81" s="39">
        <v>5.8</v>
      </c>
      <c r="M81" s="102">
        <f t="shared" ref="M81" si="127">AVERAGE(L81:L85)</f>
        <v>6.08</v>
      </c>
      <c r="N81" s="39">
        <v>22</v>
      </c>
      <c r="O81" s="102">
        <f t="shared" ref="O81" si="128">AVERAGE(N81:N85)</f>
        <v>20.399999999999999</v>
      </c>
      <c r="P81" s="39">
        <v>96</v>
      </c>
      <c r="Q81" s="102">
        <f t="shared" ref="Q81" si="129">AVERAGE(P81:P85)</f>
        <v>94</v>
      </c>
      <c r="R81" s="39">
        <v>89</v>
      </c>
      <c r="S81" s="102">
        <f t="shared" ref="S81" si="130">AVERAGE(R81:R85)</f>
        <v>86.6</v>
      </c>
      <c r="T81" s="25">
        <v>86.4</v>
      </c>
      <c r="U81" s="105">
        <f t="shared" ref="U81" si="131">AVERAGE(T81:T85)</f>
        <v>88.76</v>
      </c>
    </row>
    <row r="82" spans="1:21">
      <c r="A82" s="6">
        <v>77</v>
      </c>
      <c r="B82" s="77"/>
      <c r="C82" s="24">
        <v>2</v>
      </c>
      <c r="D82" s="24">
        <v>5.7</v>
      </c>
      <c r="E82" s="93"/>
      <c r="F82" s="9">
        <v>10</v>
      </c>
      <c r="G82" s="109"/>
      <c r="H82" s="9">
        <v>29</v>
      </c>
      <c r="I82" s="100"/>
      <c r="J82" s="9">
        <v>58</v>
      </c>
      <c r="K82" s="96"/>
      <c r="L82" s="39">
        <v>6</v>
      </c>
      <c r="M82" s="103"/>
      <c r="N82" s="39">
        <v>28</v>
      </c>
      <c r="O82" s="103"/>
      <c r="P82" s="39">
        <v>112</v>
      </c>
      <c r="Q82" s="103"/>
      <c r="R82" s="39">
        <v>105</v>
      </c>
      <c r="S82" s="103"/>
      <c r="T82" s="25">
        <v>93.9</v>
      </c>
      <c r="U82" s="106"/>
    </row>
    <row r="83" spans="1:21">
      <c r="A83" s="6">
        <v>78</v>
      </c>
      <c r="B83" s="77"/>
      <c r="C83" s="24">
        <v>3</v>
      </c>
      <c r="D83" s="24">
        <v>5.5</v>
      </c>
      <c r="E83" s="93"/>
      <c r="F83" s="9">
        <v>7</v>
      </c>
      <c r="G83" s="109"/>
      <c r="H83" s="9">
        <v>10</v>
      </c>
      <c r="I83" s="100"/>
      <c r="J83" s="9">
        <v>25</v>
      </c>
      <c r="K83" s="96"/>
      <c r="L83" s="39">
        <v>6.1</v>
      </c>
      <c r="M83" s="103"/>
      <c r="N83" s="39">
        <v>6</v>
      </c>
      <c r="O83" s="103"/>
      <c r="P83" s="39">
        <v>61</v>
      </c>
      <c r="Q83" s="103"/>
      <c r="R83" s="39">
        <v>53</v>
      </c>
      <c r="S83" s="103"/>
      <c r="T83" s="25">
        <v>86.2</v>
      </c>
      <c r="U83" s="106"/>
    </row>
    <row r="84" spans="1:21">
      <c r="A84" s="6">
        <v>79</v>
      </c>
      <c r="B84" s="77"/>
      <c r="C84" s="24">
        <v>4</v>
      </c>
      <c r="D84" s="24">
        <v>5.3</v>
      </c>
      <c r="E84" s="93"/>
      <c r="F84" s="9">
        <v>11</v>
      </c>
      <c r="G84" s="109"/>
      <c r="H84" s="9">
        <v>23</v>
      </c>
      <c r="I84" s="100"/>
      <c r="J84" s="9">
        <v>42</v>
      </c>
      <c r="K84" s="96"/>
      <c r="L84" s="39">
        <v>6.1</v>
      </c>
      <c r="M84" s="103"/>
      <c r="N84" s="39">
        <v>30</v>
      </c>
      <c r="O84" s="103"/>
      <c r="P84" s="39">
        <v>117</v>
      </c>
      <c r="Q84" s="103"/>
      <c r="R84" s="39">
        <v>110</v>
      </c>
      <c r="S84" s="103"/>
      <c r="T84" s="25">
        <v>90.6</v>
      </c>
      <c r="U84" s="106"/>
    </row>
    <row r="85" spans="1:21">
      <c r="A85" s="6">
        <v>80</v>
      </c>
      <c r="B85" s="77"/>
      <c r="C85" s="24">
        <v>5</v>
      </c>
      <c r="D85" s="24">
        <v>5.9</v>
      </c>
      <c r="E85" s="94"/>
      <c r="F85" s="9">
        <v>8</v>
      </c>
      <c r="G85" s="110"/>
      <c r="H85" s="9">
        <v>15</v>
      </c>
      <c r="I85" s="101"/>
      <c r="J85" s="9">
        <v>25</v>
      </c>
      <c r="K85" s="97"/>
      <c r="L85" s="39">
        <v>6.4</v>
      </c>
      <c r="M85" s="104"/>
      <c r="N85" s="39">
        <v>16</v>
      </c>
      <c r="O85" s="104"/>
      <c r="P85" s="39">
        <v>84</v>
      </c>
      <c r="Q85" s="104"/>
      <c r="R85" s="39">
        <v>76</v>
      </c>
      <c r="S85" s="104"/>
      <c r="T85" s="25">
        <v>86.7</v>
      </c>
      <c r="U85" s="107"/>
    </row>
    <row r="86" spans="1:21">
      <c r="A86" s="6">
        <v>81</v>
      </c>
      <c r="B86" s="77" t="s">
        <v>26</v>
      </c>
      <c r="C86" s="24">
        <v>1</v>
      </c>
      <c r="D86" s="24">
        <v>5.9</v>
      </c>
      <c r="E86" s="92">
        <f t="shared" ref="E86" si="132">AVERAGE(D86:D90)</f>
        <v>5.8199999999999994</v>
      </c>
      <c r="F86" s="9">
        <v>13</v>
      </c>
      <c r="G86" s="108">
        <f t="shared" ref="G86" si="133">AVERAGE(F86:F90)</f>
        <v>12</v>
      </c>
      <c r="H86" s="9">
        <v>24</v>
      </c>
      <c r="I86" s="99">
        <f t="shared" ref="I86" si="134">AVERAGE(H86:H90)</f>
        <v>20</v>
      </c>
      <c r="J86" s="9">
        <v>29</v>
      </c>
      <c r="K86" s="95">
        <f t="shared" ref="K86" si="135">AVERAGE(J86:J90)</f>
        <v>34.4</v>
      </c>
      <c r="L86" s="39">
        <v>5.7</v>
      </c>
      <c r="M86" s="102">
        <f t="shared" ref="M86" si="136">AVERAGE(L86:L90)</f>
        <v>5.78</v>
      </c>
      <c r="N86" s="39">
        <v>15</v>
      </c>
      <c r="O86" s="102">
        <f t="shared" ref="O86" si="137">AVERAGE(N86:N90)</f>
        <v>14</v>
      </c>
      <c r="P86" s="39">
        <v>82</v>
      </c>
      <c r="Q86" s="102">
        <f t="shared" ref="Q86" si="138">AVERAGE(P86:P90)</f>
        <v>78.400000000000006</v>
      </c>
      <c r="R86" s="39">
        <v>74</v>
      </c>
      <c r="S86" s="102">
        <f t="shared" ref="S86" si="139">AVERAGE(R86:R90)</f>
        <v>71.599999999999994</v>
      </c>
      <c r="T86" s="25">
        <v>83.9</v>
      </c>
      <c r="U86" s="105">
        <f t="shared" ref="U86" si="140">AVERAGE(T86:T90)</f>
        <v>90.66</v>
      </c>
    </row>
    <row r="87" spans="1:21">
      <c r="A87" s="6">
        <v>82</v>
      </c>
      <c r="B87" s="77"/>
      <c r="C87" s="24">
        <v>2</v>
      </c>
      <c r="D87" s="24">
        <v>5.0999999999999996</v>
      </c>
      <c r="E87" s="93"/>
      <c r="F87" s="9">
        <v>20</v>
      </c>
      <c r="G87" s="109"/>
      <c r="H87" s="9">
        <v>28</v>
      </c>
      <c r="I87" s="100"/>
      <c r="J87" s="9">
        <v>72</v>
      </c>
      <c r="K87" s="96"/>
      <c r="L87" s="39">
        <v>5.6</v>
      </c>
      <c r="M87" s="103"/>
      <c r="N87" s="39">
        <v>13</v>
      </c>
      <c r="O87" s="103"/>
      <c r="P87" s="39">
        <v>76</v>
      </c>
      <c r="Q87" s="103"/>
      <c r="R87" s="39">
        <v>69</v>
      </c>
      <c r="S87" s="103"/>
      <c r="T87" s="25">
        <v>91.9</v>
      </c>
      <c r="U87" s="106"/>
    </row>
    <row r="88" spans="1:21">
      <c r="A88" s="6">
        <v>83</v>
      </c>
      <c r="B88" s="77"/>
      <c r="C88" s="24">
        <v>3</v>
      </c>
      <c r="D88" s="24">
        <v>6.2</v>
      </c>
      <c r="E88" s="93"/>
      <c r="F88" s="9">
        <v>11</v>
      </c>
      <c r="G88" s="109"/>
      <c r="H88" s="9">
        <v>18</v>
      </c>
      <c r="I88" s="100"/>
      <c r="J88" s="9">
        <v>28</v>
      </c>
      <c r="K88" s="96"/>
      <c r="L88" s="39">
        <v>5.8</v>
      </c>
      <c r="M88" s="103"/>
      <c r="N88" s="39">
        <v>17</v>
      </c>
      <c r="O88" s="103"/>
      <c r="P88" s="39">
        <v>86</v>
      </c>
      <c r="Q88" s="103"/>
      <c r="R88" s="39">
        <v>79</v>
      </c>
      <c r="S88" s="103"/>
      <c r="T88" s="25">
        <v>93.6</v>
      </c>
      <c r="U88" s="106"/>
    </row>
    <row r="89" spans="1:21">
      <c r="A89" s="6">
        <v>84</v>
      </c>
      <c r="B89" s="77"/>
      <c r="C89" s="24">
        <v>4</v>
      </c>
      <c r="D89" s="24">
        <v>5.7</v>
      </c>
      <c r="E89" s="93"/>
      <c r="F89" s="9">
        <v>9</v>
      </c>
      <c r="G89" s="109"/>
      <c r="H89" s="9">
        <v>16</v>
      </c>
      <c r="I89" s="100"/>
      <c r="J89" s="9">
        <v>25</v>
      </c>
      <c r="K89" s="96"/>
      <c r="L89" s="39">
        <v>5.8</v>
      </c>
      <c r="M89" s="103"/>
      <c r="N89" s="39">
        <v>14</v>
      </c>
      <c r="O89" s="103"/>
      <c r="P89" s="39">
        <v>76</v>
      </c>
      <c r="Q89" s="103"/>
      <c r="R89" s="39">
        <v>72</v>
      </c>
      <c r="S89" s="103"/>
      <c r="T89" s="25">
        <v>91.4</v>
      </c>
      <c r="U89" s="106"/>
    </row>
    <row r="90" spans="1:21">
      <c r="A90" s="6">
        <v>85</v>
      </c>
      <c r="B90" s="77"/>
      <c r="C90" s="24">
        <v>5</v>
      </c>
      <c r="D90" s="24">
        <v>6.2</v>
      </c>
      <c r="E90" s="94"/>
      <c r="F90" s="9">
        <v>7</v>
      </c>
      <c r="G90" s="110"/>
      <c r="H90" s="9">
        <v>14</v>
      </c>
      <c r="I90" s="101"/>
      <c r="J90" s="9">
        <v>18</v>
      </c>
      <c r="K90" s="97"/>
      <c r="L90" s="39">
        <v>6</v>
      </c>
      <c r="M90" s="104"/>
      <c r="N90" s="39">
        <v>11</v>
      </c>
      <c r="O90" s="104"/>
      <c r="P90" s="39">
        <v>72</v>
      </c>
      <c r="Q90" s="104"/>
      <c r="R90" s="39">
        <v>64</v>
      </c>
      <c r="S90" s="104"/>
      <c r="T90" s="25">
        <v>92.5</v>
      </c>
      <c r="U90" s="107"/>
    </row>
    <row r="91" spans="1:21">
      <c r="A91" s="6">
        <v>86</v>
      </c>
      <c r="B91" s="77" t="s">
        <v>27</v>
      </c>
      <c r="C91" s="24">
        <v>1</v>
      </c>
      <c r="D91" s="24">
        <v>5.7</v>
      </c>
      <c r="E91" s="92">
        <f t="shared" ref="E91" si="141">AVERAGE(D91:D95)</f>
        <v>5.82</v>
      </c>
      <c r="F91" s="9">
        <v>9</v>
      </c>
      <c r="G91" s="108">
        <f t="shared" ref="G91" si="142">AVERAGE(F91:F95)</f>
        <v>12.8</v>
      </c>
      <c r="H91" s="9">
        <v>20</v>
      </c>
      <c r="I91" s="99">
        <f t="shared" ref="I91" si="143">AVERAGE(H91:H95)</f>
        <v>25</v>
      </c>
      <c r="J91" s="9">
        <v>25</v>
      </c>
      <c r="K91" s="95">
        <f t="shared" ref="K91" si="144">AVERAGE(J91:J95)</f>
        <v>55.4</v>
      </c>
      <c r="L91" s="39">
        <v>6</v>
      </c>
      <c r="M91" s="102">
        <f t="shared" ref="M91" si="145">AVERAGE(L91:L95)</f>
        <v>6.1199999999999992</v>
      </c>
      <c r="N91" s="39">
        <v>29</v>
      </c>
      <c r="O91" s="102">
        <f t="shared" ref="O91" si="146">AVERAGE(N91:N95)</f>
        <v>29.2</v>
      </c>
      <c r="P91" s="39">
        <v>114</v>
      </c>
      <c r="Q91" s="102">
        <f t="shared" ref="Q91" si="147">AVERAGE(P91:P95)</f>
        <v>114.2</v>
      </c>
      <c r="R91" s="39">
        <v>107</v>
      </c>
      <c r="S91" s="102">
        <f t="shared" ref="S91" si="148">AVERAGE(R91:R95)</f>
        <v>107</v>
      </c>
      <c r="T91" s="25">
        <v>92.4</v>
      </c>
      <c r="U91" s="105">
        <f t="shared" ref="U91" si="149">AVERAGE(T91:T95)</f>
        <v>92.440000000000012</v>
      </c>
    </row>
    <row r="92" spans="1:21">
      <c r="A92" s="6">
        <v>87</v>
      </c>
      <c r="B92" s="77"/>
      <c r="C92" s="24">
        <v>2</v>
      </c>
      <c r="D92" s="24">
        <v>6.3</v>
      </c>
      <c r="E92" s="93"/>
      <c r="F92" s="9">
        <v>17</v>
      </c>
      <c r="G92" s="109"/>
      <c r="H92" s="9">
        <v>33</v>
      </c>
      <c r="I92" s="100"/>
      <c r="J92" s="9">
        <v>87</v>
      </c>
      <c r="K92" s="96"/>
      <c r="L92" s="39">
        <v>6.1</v>
      </c>
      <c r="M92" s="103"/>
      <c r="N92" s="39">
        <v>37</v>
      </c>
      <c r="O92" s="103"/>
      <c r="P92" s="39">
        <v>131</v>
      </c>
      <c r="Q92" s="103"/>
      <c r="R92" s="39">
        <v>124</v>
      </c>
      <c r="S92" s="103"/>
      <c r="T92" s="25">
        <v>93.3</v>
      </c>
      <c r="U92" s="106"/>
    </row>
    <row r="93" spans="1:21">
      <c r="A93" s="6">
        <v>88</v>
      </c>
      <c r="B93" s="77"/>
      <c r="C93" s="24">
        <v>3</v>
      </c>
      <c r="D93" s="24">
        <v>5.8</v>
      </c>
      <c r="E93" s="93"/>
      <c r="F93" s="9">
        <v>10</v>
      </c>
      <c r="G93" s="109"/>
      <c r="H93" s="9">
        <v>27</v>
      </c>
      <c r="I93" s="100"/>
      <c r="J93" s="9">
        <v>29</v>
      </c>
      <c r="K93" s="96"/>
      <c r="L93" s="39">
        <v>6.2</v>
      </c>
      <c r="M93" s="103"/>
      <c r="N93" s="39">
        <v>23</v>
      </c>
      <c r="O93" s="103"/>
      <c r="P93" s="39">
        <v>101</v>
      </c>
      <c r="Q93" s="103"/>
      <c r="R93" s="39">
        <v>93</v>
      </c>
      <c r="S93" s="103"/>
      <c r="T93" s="25">
        <v>92</v>
      </c>
      <c r="U93" s="106"/>
    </row>
    <row r="94" spans="1:21">
      <c r="A94" s="6">
        <v>89</v>
      </c>
      <c r="B94" s="77"/>
      <c r="C94" s="24">
        <v>4</v>
      </c>
      <c r="D94" s="24">
        <v>5.2</v>
      </c>
      <c r="E94" s="93"/>
      <c r="F94" s="9">
        <v>10</v>
      </c>
      <c r="G94" s="109"/>
      <c r="H94" s="9">
        <v>20</v>
      </c>
      <c r="I94" s="100"/>
      <c r="J94" s="9">
        <v>36</v>
      </c>
      <c r="K94" s="96"/>
      <c r="L94" s="39">
        <v>6.1</v>
      </c>
      <c r="M94" s="103"/>
      <c r="N94" s="39">
        <v>30</v>
      </c>
      <c r="O94" s="103"/>
      <c r="P94" s="39">
        <v>116</v>
      </c>
      <c r="Q94" s="103"/>
      <c r="R94" s="39">
        <v>109</v>
      </c>
      <c r="S94" s="103"/>
      <c r="T94" s="25">
        <v>93.9</v>
      </c>
      <c r="U94" s="106"/>
    </row>
    <row r="95" spans="1:21">
      <c r="A95" s="6">
        <v>90</v>
      </c>
      <c r="B95" s="77"/>
      <c r="C95" s="24">
        <v>5</v>
      </c>
      <c r="D95" s="24">
        <v>6.1</v>
      </c>
      <c r="E95" s="94"/>
      <c r="F95" s="9">
        <v>18</v>
      </c>
      <c r="G95" s="110"/>
      <c r="H95" s="9">
        <v>25</v>
      </c>
      <c r="I95" s="101"/>
      <c r="J95" s="9">
        <v>100</v>
      </c>
      <c r="K95" s="97"/>
      <c r="L95" s="39">
        <v>6.2</v>
      </c>
      <c r="M95" s="104"/>
      <c r="N95" s="39">
        <v>27</v>
      </c>
      <c r="O95" s="104"/>
      <c r="P95" s="39">
        <v>109</v>
      </c>
      <c r="Q95" s="104"/>
      <c r="R95" s="39">
        <v>102</v>
      </c>
      <c r="S95" s="104"/>
      <c r="T95" s="25">
        <v>90.6</v>
      </c>
      <c r="U95" s="107"/>
    </row>
    <row r="96" spans="1:21">
      <c r="A96" s="6">
        <v>91</v>
      </c>
      <c r="B96" s="77" t="s">
        <v>28</v>
      </c>
      <c r="C96" s="24">
        <v>1</v>
      </c>
      <c r="D96" s="24">
        <v>5.0999999999999996</v>
      </c>
      <c r="E96" s="92">
        <f t="shared" ref="E96" si="150">AVERAGE(D96:D100)</f>
        <v>5.7</v>
      </c>
      <c r="F96" s="9">
        <v>6</v>
      </c>
      <c r="G96" s="108">
        <f t="shared" ref="G96" si="151">AVERAGE(F96:F100)</f>
        <v>12.6</v>
      </c>
      <c r="H96" s="9">
        <v>7</v>
      </c>
      <c r="I96" s="99">
        <f t="shared" ref="I96" si="152">AVERAGE(H96:H100)</f>
        <v>24.8</v>
      </c>
      <c r="J96" s="9">
        <v>12</v>
      </c>
      <c r="K96" s="95">
        <f t="shared" ref="K96" si="153">AVERAGE(J96:J100)</f>
        <v>46.4</v>
      </c>
      <c r="L96" s="39">
        <v>6.1</v>
      </c>
      <c r="M96" s="102">
        <f t="shared" ref="M96" si="154">AVERAGE(L96:L100)</f>
        <v>6.04</v>
      </c>
      <c r="N96" s="39">
        <v>17</v>
      </c>
      <c r="O96" s="102">
        <f t="shared" ref="O96" si="155">AVERAGE(N96:N100)</f>
        <v>20.2</v>
      </c>
      <c r="P96" s="39">
        <v>86</v>
      </c>
      <c r="Q96" s="102">
        <f t="shared" ref="Q96" si="156">AVERAGE(P96:P100)</f>
        <v>93.4</v>
      </c>
      <c r="R96" s="39">
        <v>80</v>
      </c>
      <c r="S96" s="102">
        <f t="shared" ref="S96" si="157">AVERAGE(R96:R100)</f>
        <v>86.2</v>
      </c>
      <c r="T96" s="25">
        <v>79.400000000000006</v>
      </c>
      <c r="U96" s="105">
        <f t="shared" ref="U96" si="158">AVERAGE(T96:T100)</f>
        <v>80.160000000000011</v>
      </c>
    </row>
    <row r="97" spans="1:21">
      <c r="A97" s="6">
        <v>92</v>
      </c>
      <c r="B97" s="77"/>
      <c r="C97" s="24">
        <v>2</v>
      </c>
      <c r="D97" s="24">
        <v>6</v>
      </c>
      <c r="E97" s="93"/>
      <c r="F97" s="9">
        <v>10</v>
      </c>
      <c r="G97" s="109"/>
      <c r="H97" s="9">
        <v>21</v>
      </c>
      <c r="I97" s="100"/>
      <c r="J97" s="9">
        <v>62</v>
      </c>
      <c r="K97" s="96"/>
      <c r="L97" s="39">
        <v>6</v>
      </c>
      <c r="M97" s="103"/>
      <c r="N97" s="39">
        <v>12</v>
      </c>
      <c r="O97" s="103"/>
      <c r="P97" s="39">
        <v>74</v>
      </c>
      <c r="Q97" s="103"/>
      <c r="R97" s="39">
        <v>67</v>
      </c>
      <c r="S97" s="103"/>
      <c r="T97" s="25">
        <v>71</v>
      </c>
      <c r="U97" s="106"/>
    </row>
    <row r="98" spans="1:21">
      <c r="A98" s="6">
        <v>93</v>
      </c>
      <c r="B98" s="77"/>
      <c r="C98" s="24">
        <v>3</v>
      </c>
      <c r="D98" s="24">
        <v>6.3</v>
      </c>
      <c r="E98" s="93"/>
      <c r="F98" s="9">
        <v>26</v>
      </c>
      <c r="G98" s="109"/>
      <c r="H98" s="9">
        <v>36</v>
      </c>
      <c r="I98" s="100"/>
      <c r="J98" s="9">
        <v>69</v>
      </c>
      <c r="K98" s="96"/>
      <c r="L98" s="39">
        <v>6.1</v>
      </c>
      <c r="M98" s="103"/>
      <c r="N98" s="39">
        <v>26</v>
      </c>
      <c r="O98" s="103"/>
      <c r="P98" s="39">
        <v>108</v>
      </c>
      <c r="Q98" s="103"/>
      <c r="R98" s="39">
        <v>100</v>
      </c>
      <c r="S98" s="103"/>
      <c r="T98" s="25">
        <v>85.7</v>
      </c>
      <c r="U98" s="106"/>
    </row>
    <row r="99" spans="1:21">
      <c r="A99" s="6">
        <v>94</v>
      </c>
      <c r="B99" s="77"/>
      <c r="C99" s="24">
        <v>4</v>
      </c>
      <c r="D99" s="24">
        <v>5.6</v>
      </c>
      <c r="E99" s="93"/>
      <c r="F99" s="9">
        <v>11</v>
      </c>
      <c r="G99" s="109"/>
      <c r="H99" s="9">
        <v>24</v>
      </c>
      <c r="I99" s="100"/>
      <c r="J99" s="9">
        <v>35</v>
      </c>
      <c r="K99" s="96"/>
      <c r="L99" s="39">
        <v>6</v>
      </c>
      <c r="M99" s="103"/>
      <c r="N99" s="39">
        <v>23</v>
      </c>
      <c r="O99" s="103"/>
      <c r="P99" s="39">
        <v>99</v>
      </c>
      <c r="Q99" s="103"/>
      <c r="R99" s="39">
        <v>91</v>
      </c>
      <c r="S99" s="103"/>
      <c r="T99" s="25">
        <v>84.3</v>
      </c>
      <c r="U99" s="106"/>
    </row>
    <row r="100" spans="1:21">
      <c r="A100" s="6">
        <v>95</v>
      </c>
      <c r="B100" s="77"/>
      <c r="C100" s="24">
        <v>5</v>
      </c>
      <c r="D100" s="24">
        <v>5.5</v>
      </c>
      <c r="E100" s="94"/>
      <c r="F100" s="9">
        <v>10</v>
      </c>
      <c r="G100" s="110"/>
      <c r="H100" s="9">
        <v>36</v>
      </c>
      <c r="I100" s="101"/>
      <c r="J100" s="9">
        <v>54</v>
      </c>
      <c r="K100" s="97"/>
      <c r="L100" s="39">
        <v>6</v>
      </c>
      <c r="M100" s="104"/>
      <c r="N100" s="39">
        <v>23</v>
      </c>
      <c r="O100" s="104"/>
      <c r="P100" s="39">
        <v>100</v>
      </c>
      <c r="Q100" s="104"/>
      <c r="R100" s="39">
        <v>93</v>
      </c>
      <c r="S100" s="104"/>
      <c r="T100" s="25">
        <v>80.400000000000006</v>
      </c>
      <c r="U100" s="107"/>
    </row>
    <row r="101" spans="1:21">
      <c r="A101" s="6">
        <v>96</v>
      </c>
      <c r="B101" s="77" t="s">
        <v>24</v>
      </c>
      <c r="C101" s="24">
        <v>1</v>
      </c>
      <c r="D101" s="24">
        <v>5.4</v>
      </c>
      <c r="E101" s="92">
        <f t="shared" ref="E101" si="159">AVERAGE(D101:D105)</f>
        <v>5.9</v>
      </c>
      <c r="F101" s="9">
        <v>22</v>
      </c>
      <c r="G101" s="108">
        <f t="shared" ref="G101" si="160">AVERAGE(F101:F105)</f>
        <v>34.6</v>
      </c>
      <c r="H101" s="9">
        <v>57</v>
      </c>
      <c r="I101" s="99">
        <f t="shared" ref="I101" si="161">AVERAGE(H101:H105)</f>
        <v>83</v>
      </c>
      <c r="J101" s="9">
        <v>90</v>
      </c>
      <c r="K101" s="95">
        <f t="shared" ref="K101" si="162">AVERAGE(J101:J105)</f>
        <v>109.6</v>
      </c>
      <c r="L101" s="39">
        <v>5.9</v>
      </c>
      <c r="M101" s="102">
        <f t="shared" ref="M101" si="163">AVERAGE(L101:L105)</f>
        <v>5.8</v>
      </c>
      <c r="N101" s="39">
        <v>165</v>
      </c>
      <c r="O101" s="102">
        <f t="shared" ref="O101" si="164">AVERAGE(N101:N105)</f>
        <v>158.6</v>
      </c>
      <c r="P101" s="39">
        <v>429</v>
      </c>
      <c r="Q101" s="102">
        <f t="shared" ref="Q101" si="165">AVERAGE(P101:P105)</f>
        <v>413.6</v>
      </c>
      <c r="R101" s="39">
        <v>424</v>
      </c>
      <c r="S101" s="102">
        <f t="shared" ref="S101" si="166">AVERAGE(R101:R105)</f>
        <v>409</v>
      </c>
      <c r="T101" s="25">
        <v>69.8</v>
      </c>
      <c r="U101" s="105">
        <f t="shared" ref="U101" si="167">AVERAGE(T101:T105)</f>
        <v>70.199999999999989</v>
      </c>
    </row>
    <row r="102" spans="1:21">
      <c r="A102" s="6">
        <v>97</v>
      </c>
      <c r="B102" s="77"/>
      <c r="C102" s="24">
        <v>2</v>
      </c>
      <c r="D102" s="24">
        <v>5.3</v>
      </c>
      <c r="E102" s="93"/>
      <c r="F102" s="9">
        <v>40</v>
      </c>
      <c r="G102" s="109"/>
      <c r="H102" s="9">
        <v>124</v>
      </c>
      <c r="I102" s="100"/>
      <c r="J102" s="9">
        <v>100</v>
      </c>
      <c r="K102" s="96"/>
      <c r="L102" s="39">
        <v>5.8</v>
      </c>
      <c r="M102" s="103"/>
      <c r="N102" s="39">
        <v>165</v>
      </c>
      <c r="O102" s="103"/>
      <c r="P102" s="39">
        <v>428</v>
      </c>
      <c r="Q102" s="103"/>
      <c r="R102" s="39">
        <v>424</v>
      </c>
      <c r="S102" s="103"/>
      <c r="T102" s="25">
        <v>69.8</v>
      </c>
      <c r="U102" s="106"/>
    </row>
    <row r="103" spans="1:21">
      <c r="A103" s="6">
        <v>98</v>
      </c>
      <c r="B103" s="77"/>
      <c r="C103" s="24">
        <v>3</v>
      </c>
      <c r="D103" s="24">
        <v>6.2</v>
      </c>
      <c r="E103" s="93"/>
      <c r="F103" s="9">
        <v>29</v>
      </c>
      <c r="G103" s="109"/>
      <c r="H103" s="9">
        <v>103</v>
      </c>
      <c r="I103" s="100"/>
      <c r="J103" s="9">
        <v>162</v>
      </c>
      <c r="K103" s="96"/>
      <c r="L103" s="39">
        <v>5.8</v>
      </c>
      <c r="M103" s="103"/>
      <c r="N103" s="39">
        <v>151</v>
      </c>
      <c r="O103" s="103"/>
      <c r="P103" s="39">
        <v>396</v>
      </c>
      <c r="Q103" s="103"/>
      <c r="R103" s="39">
        <v>392</v>
      </c>
      <c r="S103" s="103"/>
      <c r="T103" s="25">
        <v>66.3</v>
      </c>
      <c r="U103" s="106"/>
    </row>
    <row r="104" spans="1:21">
      <c r="A104" s="6">
        <v>99</v>
      </c>
      <c r="B104" s="77"/>
      <c r="C104" s="24">
        <v>4</v>
      </c>
      <c r="D104" s="24">
        <v>6.3</v>
      </c>
      <c r="E104" s="93"/>
      <c r="F104" s="9">
        <v>49</v>
      </c>
      <c r="G104" s="109"/>
      <c r="H104" s="9">
        <v>67</v>
      </c>
      <c r="I104" s="100"/>
      <c r="J104" s="9">
        <v>128</v>
      </c>
      <c r="K104" s="96"/>
      <c r="L104" s="39">
        <v>5.8</v>
      </c>
      <c r="M104" s="103"/>
      <c r="N104" s="39">
        <v>162</v>
      </c>
      <c r="O104" s="103"/>
      <c r="P104" s="39">
        <v>422</v>
      </c>
      <c r="Q104" s="103"/>
      <c r="R104" s="39">
        <v>418</v>
      </c>
      <c r="S104" s="103"/>
      <c r="T104" s="25">
        <v>75.900000000000006</v>
      </c>
      <c r="U104" s="106"/>
    </row>
    <row r="105" spans="1:21">
      <c r="A105" s="6">
        <v>100</v>
      </c>
      <c r="B105" s="77"/>
      <c r="C105" s="24">
        <v>5</v>
      </c>
      <c r="D105" s="24">
        <v>6.3</v>
      </c>
      <c r="E105" s="94"/>
      <c r="F105" s="9">
        <v>33</v>
      </c>
      <c r="G105" s="110"/>
      <c r="H105" s="9">
        <v>64</v>
      </c>
      <c r="I105" s="101"/>
      <c r="J105" s="9">
        <v>68</v>
      </c>
      <c r="K105" s="97"/>
      <c r="L105" s="39">
        <v>5.7</v>
      </c>
      <c r="M105" s="104"/>
      <c r="N105" s="39">
        <v>150</v>
      </c>
      <c r="O105" s="104"/>
      <c r="P105" s="39">
        <v>393</v>
      </c>
      <c r="Q105" s="104"/>
      <c r="R105" s="39">
        <v>387</v>
      </c>
      <c r="S105" s="104"/>
      <c r="T105" s="25">
        <v>69.2</v>
      </c>
      <c r="U105" s="107"/>
    </row>
    <row r="106" spans="1:21">
      <c r="A106" s="6">
        <v>101</v>
      </c>
      <c r="B106" s="76" t="s">
        <v>38</v>
      </c>
      <c r="C106" s="7">
        <v>1</v>
      </c>
      <c r="D106" s="8">
        <v>5</v>
      </c>
      <c r="E106" s="92">
        <f t="shared" ref="E106" si="168">AVERAGE(D106:D110)</f>
        <v>5.8400000000000007</v>
      </c>
      <c r="F106" s="9">
        <v>31</v>
      </c>
      <c r="G106" s="108">
        <f t="shared" ref="G106" si="169">AVERAGE(F106:F110)</f>
        <v>26.8</v>
      </c>
      <c r="H106" s="9">
        <v>66</v>
      </c>
      <c r="I106" s="99">
        <f t="shared" ref="I106" si="170">AVERAGE(H106:H110)</f>
        <v>44.8</v>
      </c>
      <c r="J106" s="9">
        <v>77</v>
      </c>
      <c r="K106" s="95">
        <f t="shared" ref="K106" si="171">AVERAGE(J106:J110)</f>
        <v>80.400000000000006</v>
      </c>
      <c r="L106" s="37">
        <v>5.8</v>
      </c>
      <c r="M106" s="102">
        <f t="shared" ref="M106" si="172">AVERAGE(L106:L110)</f>
        <v>6.32</v>
      </c>
      <c r="N106" s="37">
        <v>75</v>
      </c>
      <c r="O106" s="102">
        <f t="shared" ref="O106" si="173">AVERAGE(N106:N110)</f>
        <v>71.400000000000006</v>
      </c>
      <c r="P106" s="37">
        <v>221</v>
      </c>
      <c r="Q106" s="102">
        <f t="shared" ref="Q106" si="174">AVERAGE(P106:P110)</f>
        <v>211.6</v>
      </c>
      <c r="R106" s="37">
        <v>214</v>
      </c>
      <c r="S106" s="102">
        <f t="shared" ref="S106" si="175">AVERAGE(R106:R110)</f>
        <v>205.2</v>
      </c>
      <c r="T106" s="10">
        <v>90.2</v>
      </c>
      <c r="U106" s="105">
        <f t="shared" ref="U106" si="176">AVERAGE(T106:T110)</f>
        <v>88.320000000000007</v>
      </c>
    </row>
    <row r="107" spans="1:21">
      <c r="A107" s="6">
        <v>102</v>
      </c>
      <c r="B107" s="76"/>
      <c r="C107" s="7">
        <v>2</v>
      </c>
      <c r="D107" s="8">
        <v>6.3</v>
      </c>
      <c r="E107" s="93"/>
      <c r="F107" s="9">
        <v>20</v>
      </c>
      <c r="G107" s="109"/>
      <c r="H107" s="9">
        <v>33</v>
      </c>
      <c r="I107" s="100"/>
      <c r="J107" s="9">
        <v>73</v>
      </c>
      <c r="K107" s="96"/>
      <c r="L107" s="37">
        <v>6.3</v>
      </c>
      <c r="M107" s="103"/>
      <c r="N107" s="37">
        <v>81</v>
      </c>
      <c r="O107" s="103"/>
      <c r="P107" s="37">
        <v>233</v>
      </c>
      <c r="Q107" s="103"/>
      <c r="R107" s="37">
        <v>227</v>
      </c>
      <c r="S107" s="103"/>
      <c r="T107" s="10">
        <v>88.9</v>
      </c>
      <c r="U107" s="106"/>
    </row>
    <row r="108" spans="1:21">
      <c r="A108" s="6">
        <v>103</v>
      </c>
      <c r="B108" s="76"/>
      <c r="C108" s="7">
        <v>3</v>
      </c>
      <c r="D108" s="8">
        <v>5.9</v>
      </c>
      <c r="E108" s="93"/>
      <c r="F108" s="9">
        <v>25</v>
      </c>
      <c r="G108" s="109"/>
      <c r="H108" s="9">
        <v>34</v>
      </c>
      <c r="I108" s="100"/>
      <c r="J108" s="9">
        <v>47</v>
      </c>
      <c r="K108" s="96"/>
      <c r="L108" s="37">
        <v>6.6</v>
      </c>
      <c r="M108" s="103"/>
      <c r="N108" s="37">
        <v>70</v>
      </c>
      <c r="O108" s="103"/>
      <c r="P108" s="37">
        <v>208</v>
      </c>
      <c r="Q108" s="103"/>
      <c r="R108" s="37">
        <v>202</v>
      </c>
      <c r="S108" s="103"/>
      <c r="T108" s="10">
        <v>87</v>
      </c>
      <c r="U108" s="106"/>
    </row>
    <row r="109" spans="1:21">
      <c r="A109" s="6">
        <v>104</v>
      </c>
      <c r="B109" s="76"/>
      <c r="C109" s="7">
        <v>4</v>
      </c>
      <c r="D109" s="8">
        <v>6.4</v>
      </c>
      <c r="E109" s="93"/>
      <c r="F109" s="9">
        <v>22</v>
      </c>
      <c r="G109" s="109"/>
      <c r="H109" s="9">
        <v>45</v>
      </c>
      <c r="I109" s="100"/>
      <c r="J109" s="9">
        <v>99</v>
      </c>
      <c r="K109" s="96"/>
      <c r="L109" s="37">
        <v>6.3</v>
      </c>
      <c r="M109" s="103"/>
      <c r="N109" s="37">
        <v>60</v>
      </c>
      <c r="O109" s="103"/>
      <c r="P109" s="37">
        <v>186</v>
      </c>
      <c r="Q109" s="103"/>
      <c r="R109" s="37">
        <v>179</v>
      </c>
      <c r="S109" s="103"/>
      <c r="T109" s="10">
        <v>91.3</v>
      </c>
      <c r="U109" s="106"/>
    </row>
    <row r="110" spans="1:21">
      <c r="A110" s="6">
        <v>105</v>
      </c>
      <c r="B110" s="76"/>
      <c r="C110" s="7">
        <v>5</v>
      </c>
      <c r="D110" s="8">
        <v>5.6</v>
      </c>
      <c r="E110" s="94"/>
      <c r="F110" s="9">
        <v>36</v>
      </c>
      <c r="G110" s="110"/>
      <c r="H110" s="9">
        <v>46</v>
      </c>
      <c r="I110" s="101"/>
      <c r="J110" s="9">
        <v>106</v>
      </c>
      <c r="K110" s="97"/>
      <c r="L110" s="37">
        <v>6.6</v>
      </c>
      <c r="M110" s="104"/>
      <c r="N110" s="37">
        <v>71</v>
      </c>
      <c r="O110" s="104"/>
      <c r="P110" s="37">
        <v>210</v>
      </c>
      <c r="Q110" s="104"/>
      <c r="R110" s="37">
        <v>204</v>
      </c>
      <c r="S110" s="104"/>
      <c r="T110" s="10">
        <v>84.2</v>
      </c>
      <c r="U110" s="107"/>
    </row>
    <row r="111" spans="1:21">
      <c r="A111" s="6">
        <v>106</v>
      </c>
      <c r="B111" s="76" t="s">
        <v>39</v>
      </c>
      <c r="C111" s="7">
        <v>1</v>
      </c>
      <c r="D111" s="8">
        <v>6</v>
      </c>
      <c r="E111" s="92">
        <f t="shared" ref="E111" si="177">AVERAGE(D111:D115)</f>
        <v>5.9799999999999995</v>
      </c>
      <c r="F111" s="9">
        <v>9</v>
      </c>
      <c r="G111" s="108">
        <f t="shared" ref="G111" si="178">AVERAGE(F111:F115)</f>
        <v>12.8</v>
      </c>
      <c r="H111" s="9">
        <v>11</v>
      </c>
      <c r="I111" s="99">
        <f t="shared" ref="I111" si="179">AVERAGE(H111:H115)</f>
        <v>30.6</v>
      </c>
      <c r="J111" s="9">
        <v>20</v>
      </c>
      <c r="K111" s="95">
        <f t="shared" ref="K111" si="180">AVERAGE(J111:J115)</f>
        <v>43</v>
      </c>
      <c r="L111" s="37" t="s">
        <v>43</v>
      </c>
      <c r="M111" s="102">
        <f t="shared" ref="M111" si="181">AVERAGE(L111:L115)</f>
        <v>6.8249999999999993</v>
      </c>
      <c r="N111" s="37">
        <v>65</v>
      </c>
      <c r="O111" s="102">
        <f t="shared" ref="O111" si="182">AVERAGE(N111:N115)</f>
        <v>60.2</v>
      </c>
      <c r="P111" s="37">
        <v>196</v>
      </c>
      <c r="Q111" s="102">
        <f t="shared" ref="Q111" si="183">AVERAGE(P111:P115)</f>
        <v>185.8</v>
      </c>
      <c r="R111" s="37">
        <v>190</v>
      </c>
      <c r="S111" s="102">
        <f t="shared" ref="S111" si="184">AVERAGE(R111:R115)</f>
        <v>179.8</v>
      </c>
      <c r="T111" s="10">
        <v>73.099999999999994</v>
      </c>
      <c r="U111" s="105">
        <f t="shared" ref="U111" si="185">AVERAGE(T111:T115)</f>
        <v>76.66</v>
      </c>
    </row>
    <row r="112" spans="1:21">
      <c r="A112" s="6">
        <v>107</v>
      </c>
      <c r="B112" s="76"/>
      <c r="C112" s="7">
        <v>2</v>
      </c>
      <c r="D112" s="8">
        <v>6.2</v>
      </c>
      <c r="E112" s="93"/>
      <c r="F112" s="9">
        <v>11</v>
      </c>
      <c r="G112" s="109"/>
      <c r="H112" s="9">
        <v>18</v>
      </c>
      <c r="I112" s="100"/>
      <c r="J112" s="9">
        <v>41</v>
      </c>
      <c r="K112" s="96"/>
      <c r="L112" s="37">
        <v>6.6</v>
      </c>
      <c r="M112" s="103"/>
      <c r="N112" s="37">
        <v>56</v>
      </c>
      <c r="O112" s="103"/>
      <c r="P112" s="37">
        <v>177</v>
      </c>
      <c r="Q112" s="103"/>
      <c r="R112" s="37">
        <v>170</v>
      </c>
      <c r="S112" s="103"/>
      <c r="T112" s="10">
        <v>72.8</v>
      </c>
      <c r="U112" s="106"/>
    </row>
    <row r="113" spans="1:21">
      <c r="A113" s="6">
        <v>108</v>
      </c>
      <c r="B113" s="76"/>
      <c r="C113" s="7">
        <v>3</v>
      </c>
      <c r="D113" s="8">
        <v>6.4</v>
      </c>
      <c r="E113" s="93"/>
      <c r="F113" s="9">
        <v>10</v>
      </c>
      <c r="G113" s="109"/>
      <c r="H113" s="9">
        <v>18</v>
      </c>
      <c r="I113" s="100"/>
      <c r="J113" s="9">
        <v>38</v>
      </c>
      <c r="K113" s="96"/>
      <c r="L113" s="37">
        <v>6.7</v>
      </c>
      <c r="M113" s="103"/>
      <c r="N113" s="37">
        <v>54</v>
      </c>
      <c r="O113" s="103"/>
      <c r="P113" s="37">
        <v>170</v>
      </c>
      <c r="Q113" s="103"/>
      <c r="R113" s="37">
        <v>164</v>
      </c>
      <c r="S113" s="103"/>
      <c r="T113" s="10">
        <v>77</v>
      </c>
      <c r="U113" s="106"/>
    </row>
    <row r="114" spans="1:21">
      <c r="A114" s="6">
        <v>109</v>
      </c>
      <c r="B114" s="76"/>
      <c r="C114" s="7">
        <v>4</v>
      </c>
      <c r="D114" s="8">
        <v>6.2</v>
      </c>
      <c r="E114" s="93"/>
      <c r="F114" s="9">
        <v>20</v>
      </c>
      <c r="G114" s="109"/>
      <c r="H114" s="9">
        <v>74</v>
      </c>
      <c r="I114" s="100"/>
      <c r="J114" s="9">
        <v>46</v>
      </c>
      <c r="K114" s="96"/>
      <c r="L114" s="37">
        <v>7.1</v>
      </c>
      <c r="M114" s="103"/>
      <c r="N114" s="37">
        <v>56</v>
      </c>
      <c r="O114" s="103"/>
      <c r="P114" s="37">
        <v>176</v>
      </c>
      <c r="Q114" s="103"/>
      <c r="R114" s="37">
        <v>170</v>
      </c>
      <c r="S114" s="103"/>
      <c r="T114" s="10">
        <v>85.9</v>
      </c>
      <c r="U114" s="106"/>
    </row>
    <row r="115" spans="1:21">
      <c r="A115" s="6">
        <v>110</v>
      </c>
      <c r="B115" s="76"/>
      <c r="C115" s="7">
        <v>5</v>
      </c>
      <c r="D115" s="8">
        <v>5.0999999999999996</v>
      </c>
      <c r="E115" s="94"/>
      <c r="F115" s="9">
        <v>14</v>
      </c>
      <c r="G115" s="110"/>
      <c r="H115" s="9">
        <v>32</v>
      </c>
      <c r="I115" s="101"/>
      <c r="J115" s="9">
        <v>70</v>
      </c>
      <c r="K115" s="97"/>
      <c r="L115" s="37">
        <v>6.9</v>
      </c>
      <c r="M115" s="104"/>
      <c r="N115" s="37">
        <v>70</v>
      </c>
      <c r="O115" s="104"/>
      <c r="P115" s="37">
        <v>210</v>
      </c>
      <c r="Q115" s="104"/>
      <c r="R115" s="37">
        <v>205</v>
      </c>
      <c r="S115" s="104"/>
      <c r="T115" s="10">
        <v>74.5</v>
      </c>
      <c r="U115" s="107"/>
    </row>
    <row r="116" spans="1:21">
      <c r="A116" s="6">
        <v>111</v>
      </c>
      <c r="B116" s="76" t="s">
        <v>72</v>
      </c>
      <c r="C116" s="7">
        <v>1</v>
      </c>
      <c r="D116" s="8">
        <v>6.3</v>
      </c>
      <c r="E116" s="92">
        <f t="shared" ref="E116" si="186">AVERAGE(D116:D120)</f>
        <v>5.94</v>
      </c>
      <c r="F116" s="9">
        <v>36</v>
      </c>
      <c r="G116" s="108">
        <f t="shared" ref="G116" si="187">AVERAGE(F116:F120)</f>
        <v>42.2</v>
      </c>
      <c r="H116" s="9">
        <v>54</v>
      </c>
      <c r="I116" s="99">
        <f t="shared" ref="I116" si="188">AVERAGE(H116:H120)</f>
        <v>89.2</v>
      </c>
      <c r="J116" s="9">
        <v>63</v>
      </c>
      <c r="K116" s="95">
        <f t="shared" ref="K116" si="189">AVERAGE(J116:J120)</f>
        <v>116</v>
      </c>
      <c r="L116" s="37">
        <v>5.8</v>
      </c>
      <c r="M116" s="102">
        <f t="shared" ref="M116" si="190">AVERAGE(L116:L120)</f>
        <v>5.9999999999999991</v>
      </c>
      <c r="N116" s="37">
        <v>61</v>
      </c>
      <c r="O116" s="102">
        <f t="shared" ref="O116" si="191">AVERAGE(N116:N120)</f>
        <v>59</v>
      </c>
      <c r="P116" s="37">
        <v>188</v>
      </c>
      <c r="Q116" s="102">
        <f t="shared" ref="Q116" si="192">AVERAGE(P116:P120)</f>
        <v>182.6</v>
      </c>
      <c r="R116" s="37">
        <v>182</v>
      </c>
      <c r="S116" s="102">
        <f t="shared" ref="S116" si="193">AVERAGE(R116:R120)</f>
        <v>176</v>
      </c>
      <c r="T116" s="10">
        <v>84.5</v>
      </c>
      <c r="U116" s="105">
        <f t="shared" ref="U116" si="194">AVERAGE(T116:T120)</f>
        <v>87.960000000000008</v>
      </c>
    </row>
    <row r="117" spans="1:21">
      <c r="A117" s="6">
        <v>112</v>
      </c>
      <c r="B117" s="76"/>
      <c r="C117" s="7">
        <v>2</v>
      </c>
      <c r="D117" s="8">
        <v>6.2</v>
      </c>
      <c r="E117" s="93"/>
      <c r="F117" s="9">
        <v>32</v>
      </c>
      <c r="G117" s="109"/>
      <c r="H117" s="9">
        <v>72</v>
      </c>
      <c r="I117" s="100"/>
      <c r="J117" s="9">
        <v>81</v>
      </c>
      <c r="K117" s="96"/>
      <c r="L117" s="37">
        <v>5.8</v>
      </c>
      <c r="M117" s="103"/>
      <c r="N117" s="37">
        <v>57</v>
      </c>
      <c r="O117" s="103"/>
      <c r="P117" s="37">
        <v>179</v>
      </c>
      <c r="Q117" s="103"/>
      <c r="R117" s="37">
        <v>171</v>
      </c>
      <c r="S117" s="103"/>
      <c r="T117" s="10">
        <v>91.7</v>
      </c>
      <c r="U117" s="106"/>
    </row>
    <row r="118" spans="1:21">
      <c r="A118" s="6">
        <v>113</v>
      </c>
      <c r="B118" s="76"/>
      <c r="C118" s="7">
        <v>3</v>
      </c>
      <c r="D118" s="8">
        <v>5.7</v>
      </c>
      <c r="E118" s="93"/>
      <c r="F118" s="9">
        <v>54</v>
      </c>
      <c r="G118" s="109"/>
      <c r="H118" s="9">
        <v>118</v>
      </c>
      <c r="I118" s="100"/>
      <c r="J118" s="9">
        <v>191</v>
      </c>
      <c r="K118" s="96"/>
      <c r="L118" s="37">
        <v>6.1</v>
      </c>
      <c r="M118" s="103"/>
      <c r="N118" s="37">
        <v>58</v>
      </c>
      <c r="O118" s="103"/>
      <c r="P118" s="37">
        <v>180</v>
      </c>
      <c r="Q118" s="103"/>
      <c r="R118" s="37">
        <v>173</v>
      </c>
      <c r="S118" s="103"/>
      <c r="T118" s="10">
        <v>85.8</v>
      </c>
      <c r="U118" s="106"/>
    </row>
    <row r="119" spans="1:21">
      <c r="A119" s="6">
        <v>114</v>
      </c>
      <c r="B119" s="76"/>
      <c r="C119" s="7">
        <v>4</v>
      </c>
      <c r="D119" s="8">
        <v>6.4</v>
      </c>
      <c r="E119" s="93"/>
      <c r="F119" s="9">
        <v>54</v>
      </c>
      <c r="G119" s="109"/>
      <c r="H119" s="9">
        <v>128</v>
      </c>
      <c r="I119" s="100"/>
      <c r="J119" s="9">
        <v>154</v>
      </c>
      <c r="K119" s="96"/>
      <c r="L119" s="37">
        <v>6.1</v>
      </c>
      <c r="M119" s="103"/>
      <c r="N119" s="37">
        <v>62</v>
      </c>
      <c r="O119" s="103"/>
      <c r="P119" s="37">
        <v>188</v>
      </c>
      <c r="Q119" s="103"/>
      <c r="R119" s="37">
        <v>183</v>
      </c>
      <c r="S119" s="103"/>
      <c r="T119" s="10">
        <v>87.5</v>
      </c>
      <c r="U119" s="106"/>
    </row>
    <row r="120" spans="1:21">
      <c r="A120" s="6">
        <v>115</v>
      </c>
      <c r="B120" s="76"/>
      <c r="C120" s="7">
        <v>5</v>
      </c>
      <c r="D120" s="8">
        <v>5.0999999999999996</v>
      </c>
      <c r="E120" s="94"/>
      <c r="F120" s="9">
        <v>35</v>
      </c>
      <c r="G120" s="110"/>
      <c r="H120" s="9">
        <v>74</v>
      </c>
      <c r="I120" s="101"/>
      <c r="J120" s="9">
        <v>91</v>
      </c>
      <c r="K120" s="97"/>
      <c r="L120" s="37">
        <v>6.2</v>
      </c>
      <c r="M120" s="104"/>
      <c r="N120" s="37">
        <v>57</v>
      </c>
      <c r="O120" s="104"/>
      <c r="P120" s="37">
        <v>178</v>
      </c>
      <c r="Q120" s="104"/>
      <c r="R120" s="37">
        <v>171</v>
      </c>
      <c r="S120" s="104"/>
      <c r="T120" s="10">
        <v>90.3</v>
      </c>
      <c r="U120" s="107"/>
    </row>
    <row r="121" spans="1:21">
      <c r="A121" s="6">
        <v>116</v>
      </c>
      <c r="B121" s="76" t="s">
        <v>40</v>
      </c>
      <c r="C121" s="7">
        <v>1</v>
      </c>
      <c r="D121" s="8">
        <v>5.8</v>
      </c>
      <c r="E121" s="92">
        <f t="shared" ref="E121" si="195">AVERAGE(D121:D125)</f>
        <v>5.7</v>
      </c>
      <c r="F121" s="9">
        <v>29</v>
      </c>
      <c r="G121" s="108">
        <f t="shared" ref="G121" si="196">AVERAGE(F121:F125)</f>
        <v>20.8</v>
      </c>
      <c r="H121" s="9">
        <v>100</v>
      </c>
      <c r="I121" s="99">
        <f t="shared" ref="I121" si="197">AVERAGE(H121:H125)</f>
        <v>51.6</v>
      </c>
      <c r="J121" s="9">
        <v>78</v>
      </c>
      <c r="K121" s="95">
        <f t="shared" ref="K121" si="198">AVERAGE(J121:J125)</f>
        <v>69.2</v>
      </c>
      <c r="L121" s="37">
        <v>6.5</v>
      </c>
      <c r="M121" s="102">
        <f t="shared" ref="M121" si="199">AVERAGE(L121:L125)</f>
        <v>6.660000000000001</v>
      </c>
      <c r="N121" s="37">
        <v>39</v>
      </c>
      <c r="O121" s="102">
        <f t="shared" ref="O121" si="200">AVERAGE(N121:N125)</f>
        <v>40.4</v>
      </c>
      <c r="P121" s="37">
        <v>137</v>
      </c>
      <c r="Q121" s="102">
        <f t="shared" ref="Q121" si="201">AVERAGE(P121:P125)</f>
        <v>140</v>
      </c>
      <c r="R121" s="37">
        <v>130</v>
      </c>
      <c r="S121" s="102">
        <f t="shared" ref="S121" si="202">AVERAGE(R121:R125)</f>
        <v>133.19999999999999</v>
      </c>
      <c r="T121" s="10">
        <v>95.6</v>
      </c>
      <c r="U121" s="105">
        <f t="shared" ref="U121" si="203">AVERAGE(T121:T125)</f>
        <v>95.899999999999991</v>
      </c>
    </row>
    <row r="122" spans="1:21">
      <c r="A122" s="6">
        <v>117</v>
      </c>
      <c r="B122" s="76"/>
      <c r="C122" s="7">
        <v>2</v>
      </c>
      <c r="D122" s="8">
        <v>5.5</v>
      </c>
      <c r="E122" s="93"/>
      <c r="F122" s="9">
        <v>17</v>
      </c>
      <c r="G122" s="109"/>
      <c r="H122" s="9">
        <v>34</v>
      </c>
      <c r="I122" s="100"/>
      <c r="J122" s="9">
        <v>76</v>
      </c>
      <c r="K122" s="96"/>
      <c r="L122" s="37">
        <v>6.8</v>
      </c>
      <c r="M122" s="103"/>
      <c r="N122" s="37">
        <v>52</v>
      </c>
      <c r="O122" s="103"/>
      <c r="P122" s="37">
        <v>168</v>
      </c>
      <c r="Q122" s="103"/>
      <c r="R122" s="37">
        <v>161</v>
      </c>
      <c r="S122" s="103"/>
      <c r="T122" s="10">
        <v>98.3</v>
      </c>
      <c r="U122" s="106"/>
    </row>
    <row r="123" spans="1:21">
      <c r="A123" s="6">
        <v>118</v>
      </c>
      <c r="B123" s="76"/>
      <c r="C123" s="7">
        <v>3</v>
      </c>
      <c r="D123" s="8">
        <v>5</v>
      </c>
      <c r="E123" s="93"/>
      <c r="F123" s="9">
        <v>15</v>
      </c>
      <c r="G123" s="109"/>
      <c r="H123" s="9">
        <v>31</v>
      </c>
      <c r="I123" s="100"/>
      <c r="J123" s="9">
        <v>39</v>
      </c>
      <c r="K123" s="96"/>
      <c r="L123" s="37">
        <v>6.8</v>
      </c>
      <c r="M123" s="103"/>
      <c r="N123" s="37">
        <v>54</v>
      </c>
      <c r="O123" s="103"/>
      <c r="P123" s="37">
        <v>172</v>
      </c>
      <c r="Q123" s="103"/>
      <c r="R123" s="37">
        <v>166</v>
      </c>
      <c r="S123" s="103"/>
      <c r="T123" s="10">
        <v>96.5</v>
      </c>
      <c r="U123" s="106"/>
    </row>
    <row r="124" spans="1:21">
      <c r="A124" s="6">
        <v>119</v>
      </c>
      <c r="B124" s="76"/>
      <c r="C124" s="7">
        <v>4</v>
      </c>
      <c r="D124" s="8">
        <v>6.2</v>
      </c>
      <c r="E124" s="93"/>
      <c r="F124" s="9">
        <v>18</v>
      </c>
      <c r="G124" s="109"/>
      <c r="H124" s="9">
        <v>30</v>
      </c>
      <c r="I124" s="100"/>
      <c r="J124" s="9">
        <v>64</v>
      </c>
      <c r="K124" s="96"/>
      <c r="L124" s="37">
        <v>6.6</v>
      </c>
      <c r="M124" s="103"/>
      <c r="N124" s="37">
        <v>36</v>
      </c>
      <c r="O124" s="103"/>
      <c r="P124" s="37">
        <v>129</v>
      </c>
      <c r="Q124" s="103"/>
      <c r="R124" s="37">
        <v>122</v>
      </c>
      <c r="S124" s="103"/>
      <c r="T124" s="10">
        <v>93.9</v>
      </c>
      <c r="U124" s="106"/>
    </row>
    <row r="125" spans="1:21">
      <c r="A125" s="6">
        <v>120</v>
      </c>
      <c r="B125" s="76"/>
      <c r="C125" s="7">
        <v>5</v>
      </c>
      <c r="D125" s="8">
        <v>6</v>
      </c>
      <c r="E125" s="94"/>
      <c r="F125" s="9">
        <v>25</v>
      </c>
      <c r="G125" s="110"/>
      <c r="H125" s="9">
        <v>63</v>
      </c>
      <c r="I125" s="101"/>
      <c r="J125" s="9">
        <v>89</v>
      </c>
      <c r="K125" s="97"/>
      <c r="L125" s="37">
        <v>6.6</v>
      </c>
      <c r="M125" s="104"/>
      <c r="N125" s="37">
        <v>21</v>
      </c>
      <c r="O125" s="104"/>
      <c r="P125" s="37">
        <v>94</v>
      </c>
      <c r="Q125" s="104"/>
      <c r="R125" s="37">
        <v>87</v>
      </c>
      <c r="S125" s="104"/>
      <c r="T125" s="10">
        <v>95.2</v>
      </c>
      <c r="U125" s="107"/>
    </row>
    <row r="126" spans="1:21">
      <c r="A126" s="6">
        <v>121</v>
      </c>
      <c r="B126" s="76" t="s">
        <v>41</v>
      </c>
      <c r="C126" s="7">
        <v>1</v>
      </c>
      <c r="D126" s="8">
        <v>5</v>
      </c>
      <c r="E126" s="92">
        <f t="shared" ref="E126" si="204">AVERAGE(D126:D130)</f>
        <v>5.2799999999999994</v>
      </c>
      <c r="F126" s="9">
        <v>18</v>
      </c>
      <c r="G126" s="108">
        <f t="shared" ref="G126" si="205">AVERAGE(F126:F130)</f>
        <v>22.8</v>
      </c>
      <c r="H126" s="9">
        <v>58</v>
      </c>
      <c r="I126" s="99">
        <f t="shared" ref="I126" si="206">AVERAGE(H126:H130)</f>
        <v>55.6</v>
      </c>
      <c r="J126" s="9">
        <v>100</v>
      </c>
      <c r="K126" s="95">
        <f t="shared" ref="K126" si="207">AVERAGE(J126:J130)</f>
        <v>82.2</v>
      </c>
      <c r="L126" s="37">
        <v>5.6</v>
      </c>
      <c r="M126" s="102">
        <f t="shared" ref="M126" si="208">AVERAGE(L126:L130)</f>
        <v>5.58</v>
      </c>
      <c r="N126" s="37">
        <v>36</v>
      </c>
      <c r="O126" s="102">
        <f t="shared" ref="O126" si="209">AVERAGE(N126:N130)</f>
        <v>38.4</v>
      </c>
      <c r="P126" s="37">
        <v>131</v>
      </c>
      <c r="Q126" s="102">
        <f t="shared" ref="Q126" si="210">AVERAGE(P126:P130)</f>
        <v>136.19999999999999</v>
      </c>
      <c r="R126" s="37">
        <v>124</v>
      </c>
      <c r="S126" s="102">
        <f t="shared" ref="S126" si="211">AVERAGE(R126:R130)</f>
        <v>129</v>
      </c>
      <c r="T126" s="10">
        <v>82.2</v>
      </c>
      <c r="U126" s="105">
        <f t="shared" ref="U126" si="212">AVERAGE(T126:T130)</f>
        <v>85.26</v>
      </c>
    </row>
    <row r="127" spans="1:21">
      <c r="A127" s="6">
        <v>122</v>
      </c>
      <c r="B127" s="76"/>
      <c r="C127" s="7">
        <v>2</v>
      </c>
      <c r="D127" s="8">
        <v>5.2</v>
      </c>
      <c r="E127" s="93"/>
      <c r="F127" s="9">
        <v>28</v>
      </c>
      <c r="G127" s="109"/>
      <c r="H127" s="9">
        <v>46</v>
      </c>
      <c r="I127" s="100"/>
      <c r="J127" s="9">
        <v>97</v>
      </c>
      <c r="K127" s="96"/>
      <c r="L127" s="37">
        <v>5.6</v>
      </c>
      <c r="M127" s="103"/>
      <c r="N127" s="37">
        <v>33</v>
      </c>
      <c r="O127" s="103"/>
      <c r="P127" s="37">
        <v>124</v>
      </c>
      <c r="Q127" s="103"/>
      <c r="R127" s="37">
        <v>117</v>
      </c>
      <c r="S127" s="103"/>
      <c r="T127" s="10">
        <v>86.1</v>
      </c>
      <c r="U127" s="106"/>
    </row>
    <row r="128" spans="1:21">
      <c r="A128" s="6">
        <v>123</v>
      </c>
      <c r="B128" s="76"/>
      <c r="C128" s="7">
        <v>3</v>
      </c>
      <c r="D128" s="8">
        <v>5.0999999999999996</v>
      </c>
      <c r="E128" s="93"/>
      <c r="F128" s="9">
        <v>18</v>
      </c>
      <c r="G128" s="109"/>
      <c r="H128" s="9">
        <v>50</v>
      </c>
      <c r="I128" s="100"/>
      <c r="J128" s="9">
        <v>69</v>
      </c>
      <c r="K128" s="96"/>
      <c r="L128" s="37">
        <v>5.7</v>
      </c>
      <c r="M128" s="103"/>
      <c r="N128" s="37">
        <v>34</v>
      </c>
      <c r="O128" s="103"/>
      <c r="P128" s="37">
        <v>126</v>
      </c>
      <c r="Q128" s="103"/>
      <c r="R128" s="37">
        <v>119</v>
      </c>
      <c r="S128" s="103"/>
      <c r="T128" s="10">
        <v>84.6</v>
      </c>
      <c r="U128" s="106"/>
    </row>
    <row r="129" spans="1:21">
      <c r="A129" s="6">
        <v>124</v>
      </c>
      <c r="B129" s="76"/>
      <c r="C129" s="7">
        <v>4</v>
      </c>
      <c r="D129" s="8">
        <v>5.4</v>
      </c>
      <c r="E129" s="93"/>
      <c r="F129" s="9">
        <v>24</v>
      </c>
      <c r="G129" s="109"/>
      <c r="H129" s="9">
        <v>50</v>
      </c>
      <c r="I129" s="100"/>
      <c r="J129" s="9">
        <v>69</v>
      </c>
      <c r="K129" s="96"/>
      <c r="L129" s="37">
        <v>5.6</v>
      </c>
      <c r="M129" s="103"/>
      <c r="N129" s="37">
        <v>44</v>
      </c>
      <c r="O129" s="103"/>
      <c r="P129" s="37">
        <v>150</v>
      </c>
      <c r="Q129" s="103"/>
      <c r="R129" s="37">
        <v>142</v>
      </c>
      <c r="S129" s="103"/>
      <c r="T129" s="10">
        <v>85.9</v>
      </c>
      <c r="U129" s="106"/>
    </row>
    <row r="130" spans="1:21">
      <c r="A130" s="6">
        <v>125</v>
      </c>
      <c r="B130" s="76"/>
      <c r="C130" s="7">
        <v>5</v>
      </c>
      <c r="D130" s="8">
        <v>5.7</v>
      </c>
      <c r="E130" s="94"/>
      <c r="F130" s="9">
        <v>26</v>
      </c>
      <c r="G130" s="110"/>
      <c r="H130" s="9">
        <v>74</v>
      </c>
      <c r="I130" s="101"/>
      <c r="J130" s="9">
        <v>76</v>
      </c>
      <c r="K130" s="97"/>
      <c r="L130" s="37">
        <v>5.4</v>
      </c>
      <c r="M130" s="104"/>
      <c r="N130" s="37">
        <v>45</v>
      </c>
      <c r="O130" s="104"/>
      <c r="P130" s="37">
        <v>150</v>
      </c>
      <c r="Q130" s="104"/>
      <c r="R130" s="37">
        <v>143</v>
      </c>
      <c r="S130" s="104"/>
      <c r="T130" s="10">
        <v>87.5</v>
      </c>
      <c r="U130" s="107"/>
    </row>
    <row r="131" spans="1:21">
      <c r="A131" s="6">
        <v>126</v>
      </c>
      <c r="B131" s="77" t="s">
        <v>18</v>
      </c>
      <c r="C131" s="23">
        <v>1</v>
      </c>
      <c r="D131" s="24">
        <v>4.7</v>
      </c>
      <c r="E131" s="92">
        <f t="shared" ref="E131" si="213">AVERAGE(D131:D135)</f>
        <v>5.12</v>
      </c>
      <c r="F131" s="9">
        <v>3</v>
      </c>
      <c r="G131" s="108">
        <f t="shared" ref="G131" si="214">AVERAGE(F131:F135)</f>
        <v>20.399999999999999</v>
      </c>
      <c r="H131" s="9">
        <v>6</v>
      </c>
      <c r="I131" s="99">
        <f t="shared" ref="I131" si="215">AVERAGE(H131:H135)</f>
        <v>34.6</v>
      </c>
      <c r="J131" s="9">
        <v>11</v>
      </c>
      <c r="K131" s="95">
        <f t="shared" ref="K131" si="216">AVERAGE(J131:J135)</f>
        <v>55</v>
      </c>
      <c r="L131" s="39">
        <v>6.1</v>
      </c>
      <c r="M131" s="102">
        <f t="shared" ref="M131" si="217">AVERAGE(L131:L135)</f>
        <v>6.3400000000000007</v>
      </c>
      <c r="N131" s="39">
        <v>66</v>
      </c>
      <c r="O131" s="102">
        <f t="shared" ref="O131" si="218">AVERAGE(N131:N135)</f>
        <v>70.2</v>
      </c>
      <c r="P131" s="39">
        <v>200</v>
      </c>
      <c r="Q131" s="102">
        <f t="shared" ref="Q131" si="219">AVERAGE(P131:P135)</f>
        <v>209.2</v>
      </c>
      <c r="R131" s="39">
        <v>194</v>
      </c>
      <c r="S131" s="102">
        <f t="shared" ref="S131" si="220">AVERAGE(R131:R135)</f>
        <v>202.4</v>
      </c>
      <c r="T131" s="25">
        <v>89.4</v>
      </c>
      <c r="U131" s="105">
        <f t="shared" ref="U131" si="221">AVERAGE(T131:T135)</f>
        <v>87.139999999999986</v>
      </c>
    </row>
    <row r="132" spans="1:21">
      <c r="A132" s="6">
        <v>127</v>
      </c>
      <c r="B132" s="77"/>
      <c r="C132" s="23">
        <v>2</v>
      </c>
      <c r="D132" s="24">
        <v>5.2</v>
      </c>
      <c r="E132" s="93"/>
      <c r="F132" s="9">
        <v>11</v>
      </c>
      <c r="G132" s="109"/>
      <c r="H132" s="9">
        <v>13</v>
      </c>
      <c r="I132" s="100"/>
      <c r="J132" s="9">
        <v>20</v>
      </c>
      <c r="K132" s="96"/>
      <c r="L132" s="39">
        <v>6.2</v>
      </c>
      <c r="M132" s="103"/>
      <c r="N132" s="39">
        <v>71</v>
      </c>
      <c r="O132" s="103"/>
      <c r="P132" s="39">
        <v>211</v>
      </c>
      <c r="Q132" s="103"/>
      <c r="R132" s="39">
        <v>205</v>
      </c>
      <c r="S132" s="103"/>
      <c r="T132" s="25">
        <v>84.8</v>
      </c>
      <c r="U132" s="106"/>
    </row>
    <row r="133" spans="1:21">
      <c r="A133" s="6">
        <v>128</v>
      </c>
      <c r="B133" s="77"/>
      <c r="C133" s="23">
        <v>3</v>
      </c>
      <c r="D133" s="24">
        <v>5.7</v>
      </c>
      <c r="E133" s="93"/>
      <c r="F133" s="9">
        <v>24</v>
      </c>
      <c r="G133" s="109"/>
      <c r="H133" s="9">
        <v>47</v>
      </c>
      <c r="I133" s="100"/>
      <c r="J133" s="9">
        <v>75</v>
      </c>
      <c r="K133" s="96"/>
      <c r="L133" s="39">
        <v>6.4</v>
      </c>
      <c r="M133" s="103"/>
      <c r="N133" s="39">
        <v>60</v>
      </c>
      <c r="O133" s="103"/>
      <c r="P133" s="39">
        <v>185</v>
      </c>
      <c r="Q133" s="103"/>
      <c r="R133" s="39">
        <v>177</v>
      </c>
      <c r="S133" s="103"/>
      <c r="T133" s="25">
        <v>84.5</v>
      </c>
      <c r="U133" s="106"/>
    </row>
    <row r="134" spans="1:21">
      <c r="A134" s="6">
        <v>129</v>
      </c>
      <c r="B134" s="77"/>
      <c r="C134" s="23">
        <v>4</v>
      </c>
      <c r="D134" s="24">
        <v>4.7</v>
      </c>
      <c r="E134" s="93"/>
      <c r="F134" s="9">
        <v>37</v>
      </c>
      <c r="G134" s="109"/>
      <c r="H134" s="9">
        <v>54</v>
      </c>
      <c r="I134" s="100"/>
      <c r="J134" s="9">
        <v>78</v>
      </c>
      <c r="K134" s="96"/>
      <c r="L134" s="39">
        <v>6.5</v>
      </c>
      <c r="M134" s="103"/>
      <c r="N134" s="39">
        <v>72</v>
      </c>
      <c r="O134" s="103"/>
      <c r="P134" s="39">
        <v>214</v>
      </c>
      <c r="Q134" s="103"/>
      <c r="R134" s="39">
        <v>208</v>
      </c>
      <c r="S134" s="103"/>
      <c r="T134" s="25">
        <v>87.6</v>
      </c>
      <c r="U134" s="106"/>
    </row>
    <row r="135" spans="1:21">
      <c r="A135" s="6">
        <v>130</v>
      </c>
      <c r="B135" s="77"/>
      <c r="C135" s="23">
        <v>5</v>
      </c>
      <c r="D135" s="24">
        <v>5.3</v>
      </c>
      <c r="E135" s="94"/>
      <c r="F135" s="9">
        <v>27</v>
      </c>
      <c r="G135" s="110"/>
      <c r="H135" s="9">
        <v>53</v>
      </c>
      <c r="I135" s="101"/>
      <c r="J135" s="9">
        <v>91</v>
      </c>
      <c r="K135" s="97"/>
      <c r="L135" s="39">
        <v>6.5</v>
      </c>
      <c r="M135" s="104"/>
      <c r="N135" s="39">
        <v>82</v>
      </c>
      <c r="O135" s="104"/>
      <c r="P135" s="39">
        <v>236</v>
      </c>
      <c r="Q135" s="104"/>
      <c r="R135" s="39">
        <v>228</v>
      </c>
      <c r="S135" s="104"/>
      <c r="T135" s="25">
        <v>89.4</v>
      </c>
      <c r="U135" s="107"/>
    </row>
    <row r="136" spans="1:21">
      <c r="A136" s="6">
        <v>131</v>
      </c>
      <c r="B136" s="77" t="s">
        <v>36</v>
      </c>
      <c r="C136" s="23">
        <v>1</v>
      </c>
      <c r="D136" s="24">
        <v>6.2</v>
      </c>
      <c r="E136" s="92">
        <f t="shared" ref="E136" si="222">AVERAGE(D136:D140)</f>
        <v>6.02</v>
      </c>
      <c r="F136" s="9">
        <v>25</v>
      </c>
      <c r="G136" s="108">
        <f t="shared" ref="G136" si="223">AVERAGE(F136:F140)</f>
        <v>16.2</v>
      </c>
      <c r="H136" s="9">
        <v>42</v>
      </c>
      <c r="I136" s="99">
        <f t="shared" ref="I136" si="224">AVERAGE(H136:H140)</f>
        <v>30</v>
      </c>
      <c r="J136" s="9">
        <v>63</v>
      </c>
      <c r="K136" s="95">
        <f t="shared" ref="K136" si="225">AVERAGE(J136:J140)</f>
        <v>52.2</v>
      </c>
      <c r="L136" s="39">
        <v>5.4</v>
      </c>
      <c r="M136" s="102">
        <f t="shared" ref="M136" si="226">AVERAGE(L136:L140)</f>
        <v>5.52</v>
      </c>
      <c r="N136" s="39">
        <v>53</v>
      </c>
      <c r="O136" s="102">
        <f t="shared" ref="O136" si="227">AVERAGE(N136:N140)</f>
        <v>59.2</v>
      </c>
      <c r="P136" s="39">
        <v>170</v>
      </c>
      <c r="Q136" s="102">
        <f t="shared" ref="Q136" si="228">AVERAGE(P136:P140)</f>
        <v>183</v>
      </c>
      <c r="R136" s="39">
        <v>163</v>
      </c>
      <c r="S136" s="102">
        <f t="shared" ref="S136" si="229">AVERAGE(R136:R140)</f>
        <v>176.6</v>
      </c>
      <c r="T136" s="25">
        <v>65.2</v>
      </c>
      <c r="U136" s="105">
        <f t="shared" ref="U136" si="230">AVERAGE(T136:T140)</f>
        <v>73.800000000000011</v>
      </c>
    </row>
    <row r="137" spans="1:21">
      <c r="A137" s="6">
        <v>132</v>
      </c>
      <c r="B137" s="77"/>
      <c r="C137" s="23">
        <v>2</v>
      </c>
      <c r="D137" s="24">
        <v>6.3</v>
      </c>
      <c r="E137" s="93"/>
      <c r="F137" s="9">
        <v>21</v>
      </c>
      <c r="G137" s="109"/>
      <c r="H137" s="9">
        <v>40</v>
      </c>
      <c r="I137" s="100"/>
      <c r="J137" s="9">
        <v>70</v>
      </c>
      <c r="K137" s="96"/>
      <c r="L137" s="39">
        <v>5.5</v>
      </c>
      <c r="M137" s="103"/>
      <c r="N137" s="39">
        <v>61</v>
      </c>
      <c r="O137" s="103"/>
      <c r="P137" s="39">
        <v>187</v>
      </c>
      <c r="Q137" s="103"/>
      <c r="R137" s="39">
        <v>180</v>
      </c>
      <c r="S137" s="103"/>
      <c r="T137" s="25">
        <v>71.400000000000006</v>
      </c>
      <c r="U137" s="106"/>
    </row>
    <row r="138" spans="1:21">
      <c r="A138" s="6">
        <v>133</v>
      </c>
      <c r="B138" s="77"/>
      <c r="C138" s="23">
        <v>3</v>
      </c>
      <c r="D138" s="24">
        <v>6.4</v>
      </c>
      <c r="E138" s="93"/>
      <c r="F138" s="9">
        <v>14</v>
      </c>
      <c r="G138" s="109"/>
      <c r="H138" s="9">
        <v>40</v>
      </c>
      <c r="I138" s="100"/>
      <c r="J138" s="9">
        <v>60</v>
      </c>
      <c r="K138" s="96"/>
      <c r="L138" s="39">
        <v>5.5</v>
      </c>
      <c r="M138" s="103"/>
      <c r="N138" s="39">
        <v>57</v>
      </c>
      <c r="O138" s="103"/>
      <c r="P138" s="39">
        <v>178</v>
      </c>
      <c r="Q138" s="103"/>
      <c r="R138" s="39">
        <v>171</v>
      </c>
      <c r="S138" s="103"/>
      <c r="T138" s="25">
        <v>73.8</v>
      </c>
      <c r="U138" s="106"/>
    </row>
    <row r="139" spans="1:21">
      <c r="A139" s="6">
        <v>134</v>
      </c>
      <c r="B139" s="77"/>
      <c r="C139" s="23">
        <v>4</v>
      </c>
      <c r="D139" s="24">
        <v>6.2</v>
      </c>
      <c r="E139" s="93"/>
      <c r="F139" s="9">
        <v>12</v>
      </c>
      <c r="G139" s="109"/>
      <c r="H139" s="9">
        <v>15</v>
      </c>
      <c r="I139" s="100"/>
      <c r="J139" s="9">
        <v>26</v>
      </c>
      <c r="K139" s="96"/>
      <c r="L139" s="39">
        <v>5.7</v>
      </c>
      <c r="M139" s="103"/>
      <c r="N139" s="39">
        <v>69</v>
      </c>
      <c r="O139" s="103"/>
      <c r="P139" s="39">
        <v>205</v>
      </c>
      <c r="Q139" s="103"/>
      <c r="R139" s="39">
        <v>200</v>
      </c>
      <c r="S139" s="103"/>
      <c r="T139" s="25">
        <v>86.9</v>
      </c>
      <c r="U139" s="106"/>
    </row>
    <row r="140" spans="1:21">
      <c r="A140" s="6">
        <v>135</v>
      </c>
      <c r="B140" s="77"/>
      <c r="C140" s="23">
        <v>5</v>
      </c>
      <c r="D140" s="24">
        <v>5</v>
      </c>
      <c r="E140" s="94"/>
      <c r="F140" s="9">
        <v>9</v>
      </c>
      <c r="G140" s="110"/>
      <c r="H140" s="9">
        <v>13</v>
      </c>
      <c r="I140" s="101"/>
      <c r="J140" s="9">
        <v>42</v>
      </c>
      <c r="K140" s="97"/>
      <c r="L140" s="39">
        <v>5.5</v>
      </c>
      <c r="M140" s="104"/>
      <c r="N140" s="39">
        <v>56</v>
      </c>
      <c r="O140" s="104"/>
      <c r="P140" s="39">
        <v>175</v>
      </c>
      <c r="Q140" s="104"/>
      <c r="R140" s="39">
        <v>169</v>
      </c>
      <c r="S140" s="104"/>
      <c r="T140" s="25">
        <v>71.7</v>
      </c>
      <c r="U140" s="107"/>
    </row>
    <row r="141" spans="1:21">
      <c r="A141" s="6">
        <v>136</v>
      </c>
      <c r="B141" s="77" t="s">
        <v>35</v>
      </c>
      <c r="C141" s="23">
        <v>1</v>
      </c>
      <c r="D141" s="24">
        <v>5.3</v>
      </c>
      <c r="E141" s="92">
        <f t="shared" ref="E141" si="231">AVERAGE(D141:D145)</f>
        <v>6.1</v>
      </c>
      <c r="F141" s="9">
        <v>13</v>
      </c>
      <c r="G141" s="108">
        <f t="shared" ref="G141" si="232">AVERAGE(F141:F145)</f>
        <v>21</v>
      </c>
      <c r="H141" s="9">
        <v>33</v>
      </c>
      <c r="I141" s="99">
        <f t="shared" ref="I141" si="233">AVERAGE(H141:H145)</f>
        <v>46.8</v>
      </c>
      <c r="J141" s="9">
        <v>120</v>
      </c>
      <c r="K141" s="95">
        <f t="shared" ref="K141" si="234">AVERAGE(J141:J145)</f>
        <v>86.8</v>
      </c>
      <c r="L141" s="39">
        <v>5.8</v>
      </c>
      <c r="M141" s="102">
        <f t="shared" ref="M141" si="235">AVERAGE(L141:L145)</f>
        <v>6.08</v>
      </c>
      <c r="N141" s="39">
        <v>123</v>
      </c>
      <c r="O141" s="102">
        <f t="shared" ref="O141" si="236">AVERAGE(N141:N145)</f>
        <v>107</v>
      </c>
      <c r="P141" s="39">
        <v>331</v>
      </c>
      <c r="Q141" s="102">
        <f t="shared" ref="Q141" si="237">AVERAGE(P141:P145)</f>
        <v>294.2</v>
      </c>
      <c r="R141" s="39">
        <v>326</v>
      </c>
      <c r="S141" s="102">
        <f t="shared" ref="S141" si="238">AVERAGE(R141:R145)</f>
        <v>288.39999999999998</v>
      </c>
      <c r="T141" s="25">
        <v>87</v>
      </c>
      <c r="U141" s="105">
        <f t="shared" ref="U141" si="239">AVERAGE(T141:T145)</f>
        <v>86.499999999999986</v>
      </c>
    </row>
    <row r="142" spans="1:21">
      <c r="A142" s="6">
        <v>137</v>
      </c>
      <c r="B142" s="77"/>
      <c r="C142" s="23">
        <v>2</v>
      </c>
      <c r="D142" s="24">
        <v>6.4</v>
      </c>
      <c r="E142" s="93"/>
      <c r="F142" s="9">
        <v>23</v>
      </c>
      <c r="G142" s="109"/>
      <c r="H142" s="9">
        <v>47</v>
      </c>
      <c r="I142" s="100"/>
      <c r="J142" s="9">
        <v>77</v>
      </c>
      <c r="K142" s="96"/>
      <c r="L142" s="39">
        <v>6</v>
      </c>
      <c r="M142" s="103"/>
      <c r="N142" s="39">
        <v>111</v>
      </c>
      <c r="O142" s="103"/>
      <c r="P142" s="39">
        <v>304</v>
      </c>
      <c r="Q142" s="103"/>
      <c r="R142" s="39">
        <v>299</v>
      </c>
      <c r="S142" s="103"/>
      <c r="T142" s="25">
        <v>83.2</v>
      </c>
      <c r="U142" s="106"/>
    </row>
    <row r="143" spans="1:21">
      <c r="A143" s="6">
        <v>138</v>
      </c>
      <c r="B143" s="77"/>
      <c r="C143" s="23">
        <v>3</v>
      </c>
      <c r="D143" s="24">
        <v>6.2</v>
      </c>
      <c r="E143" s="93"/>
      <c r="F143" s="9">
        <v>20</v>
      </c>
      <c r="G143" s="109"/>
      <c r="H143" s="9">
        <v>51</v>
      </c>
      <c r="I143" s="100"/>
      <c r="J143" s="9">
        <v>77</v>
      </c>
      <c r="K143" s="96"/>
      <c r="L143" s="39">
        <v>6.1</v>
      </c>
      <c r="M143" s="103"/>
      <c r="N143" s="39">
        <v>109</v>
      </c>
      <c r="O143" s="103"/>
      <c r="P143" s="39">
        <v>299</v>
      </c>
      <c r="Q143" s="103"/>
      <c r="R143" s="39">
        <v>293</v>
      </c>
      <c r="S143" s="103"/>
      <c r="T143" s="25">
        <v>88.1</v>
      </c>
      <c r="U143" s="106"/>
    </row>
    <row r="144" spans="1:21">
      <c r="A144" s="6">
        <v>139</v>
      </c>
      <c r="B144" s="77"/>
      <c r="C144" s="23">
        <v>4</v>
      </c>
      <c r="D144" s="24">
        <v>6.2</v>
      </c>
      <c r="E144" s="93"/>
      <c r="F144" s="9">
        <v>30</v>
      </c>
      <c r="G144" s="109"/>
      <c r="H144" s="9">
        <v>62</v>
      </c>
      <c r="I144" s="100"/>
      <c r="J144" s="9">
        <v>98</v>
      </c>
      <c r="K144" s="96"/>
      <c r="L144" s="39">
        <v>6.2</v>
      </c>
      <c r="M144" s="103"/>
      <c r="N144" s="39">
        <v>94</v>
      </c>
      <c r="O144" s="103"/>
      <c r="P144" s="39">
        <v>264</v>
      </c>
      <c r="Q144" s="103"/>
      <c r="R144" s="39">
        <v>258</v>
      </c>
      <c r="S144" s="103"/>
      <c r="T144" s="25">
        <v>85.9</v>
      </c>
      <c r="U144" s="106"/>
    </row>
    <row r="145" spans="1:21">
      <c r="A145" s="6">
        <v>140</v>
      </c>
      <c r="B145" s="77"/>
      <c r="C145" s="23">
        <v>5</v>
      </c>
      <c r="D145" s="24">
        <v>6.4</v>
      </c>
      <c r="E145" s="94"/>
      <c r="F145" s="9">
        <v>19</v>
      </c>
      <c r="G145" s="110"/>
      <c r="H145" s="9">
        <v>41</v>
      </c>
      <c r="I145" s="101"/>
      <c r="J145" s="9">
        <v>62</v>
      </c>
      <c r="K145" s="97"/>
      <c r="L145" s="39">
        <v>6.3</v>
      </c>
      <c r="M145" s="104"/>
      <c r="N145" s="39">
        <v>98</v>
      </c>
      <c r="O145" s="104"/>
      <c r="P145" s="39">
        <v>273</v>
      </c>
      <c r="Q145" s="104"/>
      <c r="R145" s="39">
        <v>266</v>
      </c>
      <c r="S145" s="104"/>
      <c r="T145" s="25">
        <v>88.3</v>
      </c>
      <c r="U145" s="107"/>
    </row>
    <row r="146" spans="1:21">
      <c r="A146" s="6">
        <v>141</v>
      </c>
      <c r="B146" s="77" t="s">
        <v>37</v>
      </c>
      <c r="C146" s="23">
        <v>1</v>
      </c>
      <c r="D146" s="24">
        <v>5.7</v>
      </c>
      <c r="E146" s="92">
        <f t="shared" ref="E146" si="240">AVERAGE(D146:D150)</f>
        <v>6.18</v>
      </c>
      <c r="F146" s="9">
        <v>11</v>
      </c>
      <c r="G146" s="108">
        <f t="shared" ref="G146" si="241">AVERAGE(F146:F150)</f>
        <v>13.6</v>
      </c>
      <c r="H146" s="9">
        <v>29</v>
      </c>
      <c r="I146" s="99">
        <f t="shared" ref="I146" si="242">AVERAGE(H146:H150)</f>
        <v>28.4</v>
      </c>
      <c r="J146" s="9">
        <v>69</v>
      </c>
      <c r="K146" s="95">
        <f t="shared" ref="K146" si="243">AVERAGE(J146:J150)</f>
        <v>54.4</v>
      </c>
      <c r="L146" s="39">
        <v>6</v>
      </c>
      <c r="M146" s="102">
        <f t="shared" ref="M146" si="244">AVERAGE(L146:L150)</f>
        <v>6.1399999999999988</v>
      </c>
      <c r="N146" s="39">
        <v>90</v>
      </c>
      <c r="O146" s="102">
        <f t="shared" ref="O146" si="245">AVERAGE(N146:N150)</f>
        <v>70.8</v>
      </c>
      <c r="P146" s="39">
        <v>255</v>
      </c>
      <c r="Q146" s="102">
        <f t="shared" ref="Q146" si="246">AVERAGE(P146:P150)</f>
        <v>210.2</v>
      </c>
      <c r="R146" s="39">
        <v>249</v>
      </c>
      <c r="S146" s="102">
        <f t="shared" ref="S146" si="247">AVERAGE(R146:R150)</f>
        <v>203.8</v>
      </c>
      <c r="T146" s="25">
        <v>81.8</v>
      </c>
      <c r="U146" s="105">
        <f t="shared" ref="U146" si="248">AVERAGE(T146:T150)</f>
        <v>74.94</v>
      </c>
    </row>
    <row r="147" spans="1:21">
      <c r="A147" s="6">
        <v>142</v>
      </c>
      <c r="B147" s="77"/>
      <c r="C147" s="23">
        <v>2</v>
      </c>
      <c r="D147" s="24">
        <v>6.4</v>
      </c>
      <c r="E147" s="93"/>
      <c r="F147" s="9">
        <v>11</v>
      </c>
      <c r="G147" s="109"/>
      <c r="H147" s="9">
        <v>20</v>
      </c>
      <c r="I147" s="100"/>
      <c r="J147" s="9">
        <v>66</v>
      </c>
      <c r="K147" s="96"/>
      <c r="L147" s="39">
        <v>6.2</v>
      </c>
      <c r="M147" s="103"/>
      <c r="N147" s="39">
        <v>65</v>
      </c>
      <c r="O147" s="103"/>
      <c r="P147" s="39">
        <v>197</v>
      </c>
      <c r="Q147" s="103"/>
      <c r="R147" s="39">
        <v>191</v>
      </c>
      <c r="S147" s="103"/>
      <c r="T147" s="25">
        <v>72.8</v>
      </c>
      <c r="U147" s="106"/>
    </row>
    <row r="148" spans="1:21">
      <c r="A148" s="6">
        <v>143</v>
      </c>
      <c r="B148" s="77"/>
      <c r="C148" s="23">
        <v>3</v>
      </c>
      <c r="D148" s="24">
        <v>6.2</v>
      </c>
      <c r="E148" s="93"/>
      <c r="F148" s="9">
        <v>12</v>
      </c>
      <c r="G148" s="109"/>
      <c r="H148" s="9">
        <v>27</v>
      </c>
      <c r="I148" s="100"/>
      <c r="J148" s="9">
        <v>44</v>
      </c>
      <c r="K148" s="96"/>
      <c r="L148" s="39">
        <v>6.1</v>
      </c>
      <c r="M148" s="103"/>
      <c r="N148" s="39">
        <v>79</v>
      </c>
      <c r="O148" s="103"/>
      <c r="P148" s="39">
        <v>228</v>
      </c>
      <c r="Q148" s="103"/>
      <c r="R148" s="39">
        <v>221</v>
      </c>
      <c r="S148" s="103"/>
      <c r="T148" s="25">
        <v>78</v>
      </c>
      <c r="U148" s="106"/>
    </row>
    <row r="149" spans="1:21">
      <c r="A149" s="6">
        <v>144</v>
      </c>
      <c r="B149" s="77"/>
      <c r="C149" s="23">
        <v>4</v>
      </c>
      <c r="D149" s="24">
        <v>6.2</v>
      </c>
      <c r="E149" s="93"/>
      <c r="F149" s="9">
        <v>13</v>
      </c>
      <c r="G149" s="109"/>
      <c r="H149" s="9">
        <v>24</v>
      </c>
      <c r="I149" s="100"/>
      <c r="J149" s="9">
        <v>39</v>
      </c>
      <c r="K149" s="96"/>
      <c r="L149" s="39">
        <v>6.2</v>
      </c>
      <c r="M149" s="103"/>
      <c r="N149" s="39">
        <v>57</v>
      </c>
      <c r="O149" s="103"/>
      <c r="P149" s="39">
        <v>179</v>
      </c>
      <c r="Q149" s="103"/>
      <c r="R149" s="39">
        <v>173</v>
      </c>
      <c r="S149" s="103"/>
      <c r="T149" s="25">
        <v>66.900000000000006</v>
      </c>
      <c r="U149" s="106"/>
    </row>
    <row r="150" spans="1:21">
      <c r="A150" s="6">
        <v>145</v>
      </c>
      <c r="B150" s="77"/>
      <c r="C150" s="23">
        <v>5</v>
      </c>
      <c r="D150" s="24">
        <v>6.4</v>
      </c>
      <c r="E150" s="94"/>
      <c r="F150" s="9">
        <v>21</v>
      </c>
      <c r="G150" s="110"/>
      <c r="H150" s="9">
        <v>42</v>
      </c>
      <c r="I150" s="101"/>
      <c r="J150" s="9">
        <v>54</v>
      </c>
      <c r="K150" s="97"/>
      <c r="L150" s="39">
        <v>6.2</v>
      </c>
      <c r="M150" s="104"/>
      <c r="N150" s="39">
        <v>63</v>
      </c>
      <c r="O150" s="104"/>
      <c r="P150" s="39">
        <v>192</v>
      </c>
      <c r="Q150" s="104"/>
      <c r="R150" s="39">
        <v>185</v>
      </c>
      <c r="S150" s="104"/>
      <c r="T150" s="25">
        <v>75.2</v>
      </c>
      <c r="U150" s="107"/>
    </row>
    <row r="151" spans="1:21">
      <c r="A151" s="6">
        <v>146</v>
      </c>
      <c r="B151" s="77" t="s">
        <v>74</v>
      </c>
      <c r="C151" s="23">
        <v>1</v>
      </c>
      <c r="D151" s="24">
        <v>5.6</v>
      </c>
      <c r="E151" s="92">
        <f t="shared" ref="E151" si="249">AVERAGE(D151:D155)</f>
        <v>6.0600000000000005</v>
      </c>
      <c r="F151" s="9">
        <v>17</v>
      </c>
      <c r="G151" s="108">
        <f t="shared" ref="G151" si="250">AVERAGE(F151:F155)</f>
        <v>20.8</v>
      </c>
      <c r="H151" s="9">
        <v>28</v>
      </c>
      <c r="I151" s="99">
        <f t="shared" ref="I151" si="251">AVERAGE(H151:H155)</f>
        <v>46.2</v>
      </c>
      <c r="J151" s="9">
        <v>48</v>
      </c>
      <c r="K151" s="95">
        <f t="shared" ref="K151" si="252">AVERAGE(J151:J155)</f>
        <v>61.2</v>
      </c>
      <c r="L151" s="39">
        <v>5.8</v>
      </c>
      <c r="M151" s="102">
        <f t="shared" ref="M151" si="253">AVERAGE(L151:L155)</f>
        <v>5.9</v>
      </c>
      <c r="N151" s="39">
        <v>61</v>
      </c>
      <c r="O151" s="102">
        <f t="shared" ref="O151" si="254">AVERAGE(N151:N155)</f>
        <v>57.8</v>
      </c>
      <c r="P151" s="39">
        <v>186</v>
      </c>
      <c r="Q151" s="102">
        <f t="shared" ref="Q151" si="255">AVERAGE(P151:P155)</f>
        <v>179.6</v>
      </c>
      <c r="R151" s="39">
        <v>180</v>
      </c>
      <c r="S151" s="102">
        <f t="shared" ref="S151" si="256">AVERAGE(R151:R155)</f>
        <v>173.2</v>
      </c>
      <c r="T151" s="25">
        <v>89.4</v>
      </c>
      <c r="U151" s="105">
        <f t="shared" ref="U151" si="257">AVERAGE(T151:T155)</f>
        <v>87.640000000000015</v>
      </c>
    </row>
    <row r="152" spans="1:21">
      <c r="A152" s="6">
        <v>147</v>
      </c>
      <c r="B152" s="77"/>
      <c r="C152" s="23">
        <v>2</v>
      </c>
      <c r="D152" s="24">
        <v>5.6</v>
      </c>
      <c r="E152" s="93"/>
      <c r="F152" s="9">
        <v>12</v>
      </c>
      <c r="G152" s="109"/>
      <c r="H152" s="9">
        <v>25</v>
      </c>
      <c r="I152" s="100"/>
      <c r="J152" s="9">
        <v>45</v>
      </c>
      <c r="K152" s="96"/>
      <c r="L152" s="39">
        <v>5.9</v>
      </c>
      <c r="M152" s="103"/>
      <c r="N152" s="39">
        <v>56</v>
      </c>
      <c r="O152" s="103"/>
      <c r="P152" s="39">
        <v>175</v>
      </c>
      <c r="Q152" s="103"/>
      <c r="R152" s="39">
        <v>169</v>
      </c>
      <c r="S152" s="103"/>
      <c r="T152" s="25">
        <v>86.1</v>
      </c>
      <c r="U152" s="106"/>
    </row>
    <row r="153" spans="1:21">
      <c r="A153" s="6">
        <v>148</v>
      </c>
      <c r="B153" s="77"/>
      <c r="C153" s="23">
        <v>3</v>
      </c>
      <c r="D153" s="24">
        <v>6.4</v>
      </c>
      <c r="E153" s="93"/>
      <c r="F153" s="9">
        <v>23</v>
      </c>
      <c r="G153" s="109"/>
      <c r="H153" s="9">
        <v>48</v>
      </c>
      <c r="I153" s="100"/>
      <c r="J153" s="9">
        <v>83</v>
      </c>
      <c r="K153" s="96"/>
      <c r="L153" s="39">
        <v>6</v>
      </c>
      <c r="M153" s="103"/>
      <c r="N153" s="39">
        <v>53</v>
      </c>
      <c r="O153" s="103"/>
      <c r="P153" s="39">
        <v>169</v>
      </c>
      <c r="Q153" s="103"/>
      <c r="R153" s="39">
        <v>162</v>
      </c>
      <c r="S153" s="103"/>
      <c r="T153" s="25">
        <v>90.8</v>
      </c>
      <c r="U153" s="106"/>
    </row>
    <row r="154" spans="1:21">
      <c r="A154" s="6">
        <v>149</v>
      </c>
      <c r="B154" s="77"/>
      <c r="C154" s="23">
        <v>4</v>
      </c>
      <c r="D154" s="24">
        <v>6.4</v>
      </c>
      <c r="E154" s="93"/>
      <c r="F154" s="9">
        <v>22</v>
      </c>
      <c r="G154" s="109"/>
      <c r="H154" s="9">
        <v>59</v>
      </c>
      <c r="I154" s="100"/>
      <c r="J154" s="9">
        <v>59</v>
      </c>
      <c r="K154" s="96"/>
      <c r="L154" s="39">
        <v>5.8</v>
      </c>
      <c r="M154" s="103"/>
      <c r="N154" s="39">
        <v>55</v>
      </c>
      <c r="O154" s="103"/>
      <c r="P154" s="39">
        <v>173</v>
      </c>
      <c r="Q154" s="103"/>
      <c r="R154" s="39">
        <v>166</v>
      </c>
      <c r="S154" s="103"/>
      <c r="T154" s="25">
        <v>87.3</v>
      </c>
      <c r="U154" s="106"/>
    </row>
    <row r="155" spans="1:21">
      <c r="A155" s="6">
        <v>150</v>
      </c>
      <c r="B155" s="77"/>
      <c r="C155" s="23">
        <v>5</v>
      </c>
      <c r="D155" s="24">
        <v>6.3</v>
      </c>
      <c r="E155" s="94"/>
      <c r="F155" s="9">
        <v>30</v>
      </c>
      <c r="G155" s="110"/>
      <c r="H155" s="9">
        <v>71</v>
      </c>
      <c r="I155" s="101"/>
      <c r="J155" s="9">
        <v>71</v>
      </c>
      <c r="K155" s="97"/>
      <c r="L155" s="39">
        <v>6</v>
      </c>
      <c r="M155" s="104"/>
      <c r="N155" s="39">
        <v>64</v>
      </c>
      <c r="O155" s="104"/>
      <c r="P155" s="39">
        <v>195</v>
      </c>
      <c r="Q155" s="104"/>
      <c r="R155" s="39">
        <v>189</v>
      </c>
      <c r="S155" s="104"/>
      <c r="T155" s="25">
        <v>84.6</v>
      </c>
      <c r="U155" s="107"/>
    </row>
    <row r="156" spans="1:21">
      <c r="A156" s="6">
        <v>151</v>
      </c>
      <c r="B156" s="76" t="s">
        <v>19</v>
      </c>
      <c r="C156" s="7">
        <v>1</v>
      </c>
      <c r="D156" s="8">
        <v>5</v>
      </c>
      <c r="E156" s="92">
        <f t="shared" ref="E156" si="258">AVERAGE(D156:D160)</f>
        <v>5.5600000000000005</v>
      </c>
      <c r="F156" s="9">
        <v>77</v>
      </c>
      <c r="G156" s="108">
        <f t="shared" ref="G156" si="259">AVERAGE(F156:F160)</f>
        <v>73.8</v>
      </c>
      <c r="H156" s="9">
        <v>61</v>
      </c>
      <c r="I156" s="99">
        <f t="shared" ref="I156" si="260">AVERAGE(H156:H160)</f>
        <v>81.8</v>
      </c>
      <c r="J156" s="9">
        <v>142</v>
      </c>
      <c r="K156" s="95">
        <f t="shared" ref="K156" si="261">AVERAGE(J156:J160)</f>
        <v>140.6</v>
      </c>
      <c r="L156" s="37">
        <v>5.0999999999999996</v>
      </c>
      <c r="M156" s="102">
        <f t="shared" ref="M156" si="262">AVERAGE(L156:L160)</f>
        <v>5.4799999999999995</v>
      </c>
      <c r="N156" s="37">
        <v>379</v>
      </c>
      <c r="O156" s="102">
        <f t="shared" ref="O156" si="263">AVERAGE(N156:N160)</f>
        <v>372.6</v>
      </c>
      <c r="P156" s="37">
        <v>922</v>
      </c>
      <c r="Q156" s="102">
        <f t="shared" ref="Q156" si="264">AVERAGE(P156:P160)</f>
        <v>907.8</v>
      </c>
      <c r="R156" s="37">
        <v>915</v>
      </c>
      <c r="S156" s="102">
        <f t="shared" ref="S156" si="265">AVERAGE(R156:R160)</f>
        <v>902.8</v>
      </c>
      <c r="T156" s="10">
        <v>91.4</v>
      </c>
      <c r="U156" s="105">
        <f t="shared" ref="U156" si="266">AVERAGE(T156:T160)</f>
        <v>88.559999999999988</v>
      </c>
    </row>
    <row r="157" spans="1:21">
      <c r="A157" s="6">
        <v>152</v>
      </c>
      <c r="B157" s="76"/>
      <c r="C157" s="7">
        <v>2</v>
      </c>
      <c r="D157" s="8">
        <v>5.9</v>
      </c>
      <c r="E157" s="93"/>
      <c r="F157" s="9">
        <v>56</v>
      </c>
      <c r="G157" s="109"/>
      <c r="H157" s="9">
        <v>60</v>
      </c>
      <c r="I157" s="100"/>
      <c r="J157" s="9">
        <v>131</v>
      </c>
      <c r="K157" s="96"/>
      <c r="L157" s="37">
        <v>5.9</v>
      </c>
      <c r="M157" s="103"/>
      <c r="N157" s="37">
        <v>483</v>
      </c>
      <c r="O157" s="103"/>
      <c r="P157" s="37">
        <v>1160</v>
      </c>
      <c r="Q157" s="103"/>
      <c r="R157" s="37">
        <v>1154</v>
      </c>
      <c r="S157" s="103"/>
      <c r="T157" s="10">
        <v>87.6</v>
      </c>
      <c r="U157" s="106"/>
    </row>
    <row r="158" spans="1:21">
      <c r="A158" s="6">
        <v>153</v>
      </c>
      <c r="B158" s="76"/>
      <c r="C158" s="7">
        <v>3</v>
      </c>
      <c r="D158" s="8">
        <v>5.5</v>
      </c>
      <c r="E158" s="93"/>
      <c r="F158" s="9">
        <v>43</v>
      </c>
      <c r="G158" s="109"/>
      <c r="H158" s="9">
        <v>94</v>
      </c>
      <c r="I158" s="100"/>
      <c r="J158" s="9">
        <v>130</v>
      </c>
      <c r="K158" s="96"/>
      <c r="L158" s="37">
        <v>5.3</v>
      </c>
      <c r="M158" s="103"/>
      <c r="N158" s="37">
        <v>344</v>
      </c>
      <c r="O158" s="103"/>
      <c r="P158" s="37">
        <v>843</v>
      </c>
      <c r="Q158" s="103"/>
      <c r="R158" s="37">
        <v>838</v>
      </c>
      <c r="S158" s="103"/>
      <c r="T158" s="10">
        <v>86.2</v>
      </c>
      <c r="U158" s="106"/>
    </row>
    <row r="159" spans="1:21">
      <c r="A159" s="6">
        <v>154</v>
      </c>
      <c r="B159" s="76"/>
      <c r="C159" s="7">
        <v>4</v>
      </c>
      <c r="D159" s="8">
        <v>6.1</v>
      </c>
      <c r="E159" s="93"/>
      <c r="F159" s="9">
        <v>95</v>
      </c>
      <c r="G159" s="109"/>
      <c r="H159" s="9">
        <v>120</v>
      </c>
      <c r="I159" s="100"/>
      <c r="J159" s="9">
        <v>91</v>
      </c>
      <c r="K159" s="96"/>
      <c r="L159" s="37">
        <v>5.6</v>
      </c>
      <c r="M159" s="103"/>
      <c r="N159" s="37">
        <v>365</v>
      </c>
      <c r="O159" s="103"/>
      <c r="P159" s="37">
        <v>887</v>
      </c>
      <c r="Q159" s="103"/>
      <c r="R159" s="37">
        <v>883</v>
      </c>
      <c r="S159" s="103"/>
      <c r="T159" s="10">
        <v>89.5</v>
      </c>
      <c r="U159" s="106"/>
    </row>
    <row r="160" spans="1:21">
      <c r="A160" s="6">
        <v>155</v>
      </c>
      <c r="B160" s="76"/>
      <c r="C160" s="7">
        <v>5</v>
      </c>
      <c r="D160" s="8">
        <v>5.3</v>
      </c>
      <c r="E160" s="94"/>
      <c r="F160" s="9">
        <v>98</v>
      </c>
      <c r="G160" s="110"/>
      <c r="H160" s="9">
        <v>74</v>
      </c>
      <c r="I160" s="101"/>
      <c r="J160" s="9">
        <v>209</v>
      </c>
      <c r="K160" s="97"/>
      <c r="L160" s="37">
        <v>5.5</v>
      </c>
      <c r="M160" s="104"/>
      <c r="N160" s="37">
        <v>292</v>
      </c>
      <c r="O160" s="104"/>
      <c r="P160" s="37">
        <v>727</v>
      </c>
      <c r="Q160" s="104"/>
      <c r="R160" s="37">
        <v>724</v>
      </c>
      <c r="S160" s="104"/>
      <c r="T160" s="10">
        <v>88.1</v>
      </c>
      <c r="U160" s="107"/>
    </row>
    <row r="161" spans="1:21">
      <c r="A161" s="6">
        <v>156</v>
      </c>
      <c r="B161" s="76" t="s">
        <v>20</v>
      </c>
      <c r="C161" s="7">
        <v>1</v>
      </c>
      <c r="D161" s="8">
        <v>5.8</v>
      </c>
      <c r="E161" s="92">
        <f t="shared" ref="E161" si="267">AVERAGE(D161:D165)</f>
        <v>5.72</v>
      </c>
      <c r="F161" s="9">
        <v>67</v>
      </c>
      <c r="G161" s="108">
        <f t="shared" ref="G161" si="268">AVERAGE(F161:F165)</f>
        <v>49.2</v>
      </c>
      <c r="H161" s="9">
        <v>127</v>
      </c>
      <c r="I161" s="99">
        <f t="shared" ref="I161" si="269">AVERAGE(H161:H165)</f>
        <v>98.4</v>
      </c>
      <c r="J161" s="9">
        <v>152</v>
      </c>
      <c r="K161" s="95">
        <f t="shared" ref="K161" si="270">AVERAGE(J161:J165)</f>
        <v>115.8</v>
      </c>
      <c r="L161" s="37">
        <v>5.5</v>
      </c>
      <c r="M161" s="102">
        <f t="shared" ref="M161" si="271">AVERAGE(L161:L165)</f>
        <v>5.6</v>
      </c>
      <c r="N161" s="37">
        <v>158</v>
      </c>
      <c r="O161" s="102">
        <f t="shared" ref="O161" si="272">AVERAGE(N161:N165)</f>
        <v>150.19999999999999</v>
      </c>
      <c r="P161" s="37">
        <v>413</v>
      </c>
      <c r="Q161" s="102">
        <f t="shared" ref="Q161" si="273">AVERAGE(P161:P165)</f>
        <v>393.8</v>
      </c>
      <c r="R161" s="37">
        <v>408</v>
      </c>
      <c r="S161" s="102">
        <f t="shared" ref="S161" si="274">AVERAGE(R161:R165)</f>
        <v>388.8</v>
      </c>
      <c r="T161" s="10">
        <v>86.1</v>
      </c>
      <c r="U161" s="105">
        <f t="shared" ref="U161" si="275">AVERAGE(T161:T165)</f>
        <v>82.78</v>
      </c>
    </row>
    <row r="162" spans="1:21">
      <c r="A162" s="6">
        <v>157</v>
      </c>
      <c r="B162" s="76"/>
      <c r="C162" s="7">
        <v>2</v>
      </c>
      <c r="D162" s="8">
        <v>5.0999999999999996</v>
      </c>
      <c r="E162" s="93"/>
      <c r="F162" s="9">
        <v>60</v>
      </c>
      <c r="G162" s="109"/>
      <c r="H162" s="9">
        <v>119</v>
      </c>
      <c r="I162" s="100"/>
      <c r="J162" s="9">
        <v>102</v>
      </c>
      <c r="K162" s="96"/>
      <c r="L162" s="37">
        <v>5.6</v>
      </c>
      <c r="M162" s="103"/>
      <c r="N162" s="37">
        <v>154</v>
      </c>
      <c r="O162" s="103"/>
      <c r="P162" s="37">
        <v>402</v>
      </c>
      <c r="Q162" s="103"/>
      <c r="R162" s="37">
        <v>396</v>
      </c>
      <c r="S162" s="103"/>
      <c r="T162" s="10">
        <v>85.3</v>
      </c>
      <c r="U162" s="106"/>
    </row>
    <row r="163" spans="1:21">
      <c r="A163" s="6">
        <v>158</v>
      </c>
      <c r="B163" s="76"/>
      <c r="C163" s="7">
        <v>3</v>
      </c>
      <c r="D163" s="8">
        <v>6.3</v>
      </c>
      <c r="E163" s="93"/>
      <c r="F163" s="9">
        <v>33</v>
      </c>
      <c r="G163" s="109"/>
      <c r="H163" s="9">
        <v>49</v>
      </c>
      <c r="I163" s="100"/>
      <c r="J163" s="9">
        <v>100</v>
      </c>
      <c r="K163" s="96"/>
      <c r="L163" s="37">
        <v>5.6</v>
      </c>
      <c r="M163" s="103"/>
      <c r="N163" s="37">
        <v>118</v>
      </c>
      <c r="O163" s="103"/>
      <c r="P163" s="37">
        <v>319</v>
      </c>
      <c r="Q163" s="103"/>
      <c r="R163" s="37">
        <v>313</v>
      </c>
      <c r="S163" s="103"/>
      <c r="T163" s="10">
        <v>69.8</v>
      </c>
      <c r="U163" s="106"/>
    </row>
    <row r="164" spans="1:21">
      <c r="A164" s="6">
        <v>159</v>
      </c>
      <c r="B164" s="76"/>
      <c r="C164" s="7">
        <v>4</v>
      </c>
      <c r="D164" s="8">
        <v>5.0999999999999996</v>
      </c>
      <c r="E164" s="93"/>
      <c r="F164" s="9">
        <v>31</v>
      </c>
      <c r="G164" s="109"/>
      <c r="H164" s="9">
        <v>80</v>
      </c>
      <c r="I164" s="100"/>
      <c r="J164" s="9">
        <v>78</v>
      </c>
      <c r="K164" s="96"/>
      <c r="L164" s="37">
        <v>5.6</v>
      </c>
      <c r="M164" s="103"/>
      <c r="N164" s="37">
        <v>162</v>
      </c>
      <c r="O164" s="103"/>
      <c r="P164" s="37">
        <v>422</v>
      </c>
      <c r="Q164" s="103"/>
      <c r="R164" s="37">
        <v>418</v>
      </c>
      <c r="S164" s="103"/>
      <c r="T164" s="10">
        <v>87.3</v>
      </c>
      <c r="U164" s="106"/>
    </row>
    <row r="165" spans="1:21">
      <c r="A165" s="6">
        <v>160</v>
      </c>
      <c r="B165" s="76"/>
      <c r="C165" s="7">
        <v>5</v>
      </c>
      <c r="D165" s="8">
        <v>6.3</v>
      </c>
      <c r="E165" s="94"/>
      <c r="F165" s="9">
        <v>55</v>
      </c>
      <c r="G165" s="110"/>
      <c r="H165" s="9">
        <v>117</v>
      </c>
      <c r="I165" s="101"/>
      <c r="J165" s="9">
        <v>147</v>
      </c>
      <c r="K165" s="97"/>
      <c r="L165" s="37">
        <v>5.7</v>
      </c>
      <c r="M165" s="104"/>
      <c r="N165" s="37">
        <v>159</v>
      </c>
      <c r="O165" s="104"/>
      <c r="P165" s="37">
        <v>413</v>
      </c>
      <c r="Q165" s="104"/>
      <c r="R165" s="37">
        <v>409</v>
      </c>
      <c r="S165" s="104"/>
      <c r="T165" s="10">
        <v>85.4</v>
      </c>
      <c r="U165" s="107"/>
    </row>
    <row r="166" spans="1:21">
      <c r="A166" s="6">
        <v>161</v>
      </c>
      <c r="B166" s="76" t="s">
        <v>21</v>
      </c>
      <c r="C166" s="7">
        <v>1</v>
      </c>
      <c r="D166" s="8">
        <v>6.4</v>
      </c>
      <c r="E166" s="92">
        <f t="shared" ref="E166" si="276">AVERAGE(D166:D170)</f>
        <v>6.1400000000000006</v>
      </c>
      <c r="F166" s="9">
        <v>32</v>
      </c>
      <c r="G166" s="108">
        <f t="shared" ref="G166" si="277">AVERAGE(F166:F170)</f>
        <v>30</v>
      </c>
      <c r="H166" s="9">
        <v>44</v>
      </c>
      <c r="I166" s="99">
        <f t="shared" ref="I166" si="278">AVERAGE(H166:H170)</f>
        <v>63.8</v>
      </c>
      <c r="J166" s="9">
        <v>77</v>
      </c>
      <c r="K166" s="95">
        <f t="shared" ref="K166" si="279">AVERAGE(J166:J170)</f>
        <v>80</v>
      </c>
      <c r="L166" s="37">
        <v>5.3</v>
      </c>
      <c r="M166" s="102">
        <f t="shared" ref="M166" si="280">AVERAGE(L166:L170)</f>
        <v>5.6</v>
      </c>
      <c r="N166" s="37">
        <v>90</v>
      </c>
      <c r="O166" s="102">
        <f t="shared" ref="O166" si="281">AVERAGE(N166:N170)</f>
        <v>85.2</v>
      </c>
      <c r="P166" s="37">
        <v>255</v>
      </c>
      <c r="Q166" s="102">
        <f t="shared" ref="Q166" si="282">AVERAGE(P166:P170)</f>
        <v>244.2</v>
      </c>
      <c r="R166" s="37">
        <v>250</v>
      </c>
      <c r="S166" s="102">
        <f t="shared" ref="S166" si="283">AVERAGE(R166:R170)</f>
        <v>704</v>
      </c>
      <c r="T166" s="10">
        <v>89.4</v>
      </c>
      <c r="U166" s="105">
        <f t="shared" ref="U166" si="284">AVERAGE(T166:T170)</f>
        <v>88.72</v>
      </c>
    </row>
    <row r="167" spans="1:21">
      <c r="A167" s="6">
        <v>162</v>
      </c>
      <c r="B167" s="76"/>
      <c r="C167" s="7">
        <v>2</v>
      </c>
      <c r="D167" s="8">
        <v>5.8</v>
      </c>
      <c r="E167" s="93"/>
      <c r="F167" s="9">
        <v>11</v>
      </c>
      <c r="G167" s="109"/>
      <c r="H167" s="9">
        <v>34</v>
      </c>
      <c r="I167" s="100"/>
      <c r="J167" s="9">
        <v>50</v>
      </c>
      <c r="K167" s="96"/>
      <c r="L167" s="37">
        <v>5.6</v>
      </c>
      <c r="M167" s="103"/>
      <c r="N167" s="37">
        <v>90</v>
      </c>
      <c r="O167" s="103"/>
      <c r="P167" s="37">
        <v>255</v>
      </c>
      <c r="Q167" s="103"/>
      <c r="R167" s="37">
        <v>249</v>
      </c>
      <c r="S167" s="103"/>
      <c r="T167" s="10">
        <v>88.1</v>
      </c>
      <c r="U167" s="106"/>
    </row>
    <row r="168" spans="1:21">
      <c r="A168" s="6">
        <v>163</v>
      </c>
      <c r="B168" s="76"/>
      <c r="C168" s="7">
        <v>3</v>
      </c>
      <c r="D168" s="8">
        <v>6.4</v>
      </c>
      <c r="E168" s="93"/>
      <c r="F168" s="9">
        <v>40</v>
      </c>
      <c r="G168" s="109"/>
      <c r="H168" s="9">
        <v>97</v>
      </c>
      <c r="I168" s="100"/>
      <c r="J168" s="9">
        <v>80</v>
      </c>
      <c r="K168" s="96"/>
      <c r="L168" s="37">
        <v>5.5</v>
      </c>
      <c r="M168" s="103"/>
      <c r="N168" s="37">
        <v>76</v>
      </c>
      <c r="O168" s="103"/>
      <c r="P168" s="37">
        <v>225</v>
      </c>
      <c r="Q168" s="103"/>
      <c r="R168" s="37">
        <v>218</v>
      </c>
      <c r="S168" s="103"/>
      <c r="T168" s="10">
        <v>85</v>
      </c>
      <c r="U168" s="106"/>
    </row>
    <row r="169" spans="1:21">
      <c r="A169" s="6">
        <v>164</v>
      </c>
      <c r="B169" s="76"/>
      <c r="C169" s="7">
        <v>4</v>
      </c>
      <c r="D169" s="8">
        <v>5.7</v>
      </c>
      <c r="E169" s="93"/>
      <c r="F169" s="9">
        <v>21</v>
      </c>
      <c r="G169" s="109"/>
      <c r="H169" s="9">
        <v>54</v>
      </c>
      <c r="I169" s="100"/>
      <c r="J169" s="9">
        <v>65</v>
      </c>
      <c r="K169" s="96"/>
      <c r="L169" s="37">
        <v>5.7</v>
      </c>
      <c r="M169" s="103"/>
      <c r="N169" s="37">
        <v>94</v>
      </c>
      <c r="O169" s="103"/>
      <c r="P169" s="37">
        <v>264</v>
      </c>
      <c r="Q169" s="103"/>
      <c r="R169" s="37">
        <v>2587</v>
      </c>
      <c r="S169" s="103"/>
      <c r="T169" s="10">
        <v>91.3</v>
      </c>
      <c r="U169" s="106"/>
    </row>
    <row r="170" spans="1:21">
      <c r="A170" s="6">
        <v>165</v>
      </c>
      <c r="B170" s="76"/>
      <c r="C170" s="7">
        <v>5</v>
      </c>
      <c r="D170" s="8">
        <v>6.4</v>
      </c>
      <c r="E170" s="94"/>
      <c r="F170" s="9">
        <v>46</v>
      </c>
      <c r="G170" s="110"/>
      <c r="H170" s="9">
        <v>90</v>
      </c>
      <c r="I170" s="101"/>
      <c r="J170" s="9">
        <v>128</v>
      </c>
      <c r="K170" s="97"/>
      <c r="L170" s="37">
        <v>5.9</v>
      </c>
      <c r="M170" s="104"/>
      <c r="N170" s="37">
        <v>76</v>
      </c>
      <c r="O170" s="104"/>
      <c r="P170" s="37">
        <v>222</v>
      </c>
      <c r="Q170" s="104"/>
      <c r="R170" s="37">
        <v>216</v>
      </c>
      <c r="S170" s="104"/>
      <c r="T170" s="10">
        <v>89.8</v>
      </c>
      <c r="U170" s="107"/>
    </row>
    <row r="171" spans="1:21">
      <c r="A171" s="6">
        <v>166</v>
      </c>
      <c r="B171" s="76" t="s">
        <v>22</v>
      </c>
      <c r="C171" s="7">
        <v>1</v>
      </c>
      <c r="D171" s="8">
        <v>6.2</v>
      </c>
      <c r="E171" s="92">
        <f t="shared" ref="E171" si="285">AVERAGE(D171:D175)</f>
        <v>5.8000000000000007</v>
      </c>
      <c r="F171" s="9">
        <v>65</v>
      </c>
      <c r="G171" s="108">
        <f t="shared" ref="G171" si="286">AVERAGE(F171:F175)</f>
        <v>53</v>
      </c>
      <c r="H171" s="9">
        <v>120</v>
      </c>
      <c r="I171" s="99">
        <f t="shared" ref="I171" si="287">AVERAGE(H171:H175)</f>
        <v>106.8</v>
      </c>
      <c r="J171" s="9">
        <v>190</v>
      </c>
      <c r="K171" s="95">
        <f t="shared" ref="K171" si="288">AVERAGE(J171:J175)</f>
        <v>164.4</v>
      </c>
      <c r="L171" s="37">
        <v>6.2</v>
      </c>
      <c r="M171" s="102">
        <f t="shared" ref="M171" si="289">AVERAGE(L171:L175)</f>
        <v>6.2799999999999994</v>
      </c>
      <c r="N171" s="37">
        <v>144</v>
      </c>
      <c r="O171" s="102">
        <f t="shared" ref="O171" si="290">AVERAGE(N171:N175)</f>
        <v>142.4</v>
      </c>
      <c r="P171" s="37">
        <v>381</v>
      </c>
      <c r="Q171" s="102">
        <f t="shared" ref="Q171" si="291">AVERAGE(P171:P175)</f>
        <v>395.8</v>
      </c>
      <c r="R171" s="37">
        <v>375</v>
      </c>
      <c r="S171" s="102">
        <f t="shared" ref="S171" si="292">AVERAGE(R171:R175)</f>
        <v>371.2</v>
      </c>
      <c r="T171" s="10">
        <v>88.1</v>
      </c>
      <c r="U171" s="105">
        <f t="shared" ref="U171" si="293">AVERAGE(T171:T175)</f>
        <v>87.700000000000017</v>
      </c>
    </row>
    <row r="172" spans="1:21">
      <c r="A172" s="6">
        <v>167</v>
      </c>
      <c r="B172" s="76"/>
      <c r="C172" s="7">
        <v>2</v>
      </c>
      <c r="D172" s="8">
        <v>6.4</v>
      </c>
      <c r="E172" s="93"/>
      <c r="F172" s="9">
        <v>49</v>
      </c>
      <c r="G172" s="109"/>
      <c r="H172" s="9">
        <v>88</v>
      </c>
      <c r="I172" s="100"/>
      <c r="J172" s="9">
        <v>140</v>
      </c>
      <c r="K172" s="96"/>
      <c r="L172" s="37">
        <v>6.3</v>
      </c>
      <c r="M172" s="103"/>
      <c r="N172" s="37">
        <v>156</v>
      </c>
      <c r="O172" s="103"/>
      <c r="P172" s="37">
        <v>406</v>
      </c>
      <c r="Q172" s="103"/>
      <c r="R172" s="37">
        <v>401</v>
      </c>
      <c r="S172" s="103"/>
      <c r="T172" s="10">
        <v>90.2</v>
      </c>
      <c r="U172" s="106"/>
    </row>
    <row r="173" spans="1:21">
      <c r="A173" s="6">
        <v>168</v>
      </c>
      <c r="B173" s="76"/>
      <c r="C173" s="7">
        <v>3</v>
      </c>
      <c r="D173" s="8">
        <v>5</v>
      </c>
      <c r="E173" s="93"/>
      <c r="F173" s="9">
        <v>55</v>
      </c>
      <c r="G173" s="109"/>
      <c r="H173" s="9">
        <v>100</v>
      </c>
      <c r="I173" s="100"/>
      <c r="J173" s="9">
        <v>149</v>
      </c>
      <c r="K173" s="96"/>
      <c r="L173" s="37">
        <v>6.4</v>
      </c>
      <c r="M173" s="103"/>
      <c r="N173" s="37">
        <v>135</v>
      </c>
      <c r="O173" s="103"/>
      <c r="P173" s="37">
        <v>460</v>
      </c>
      <c r="Q173" s="103"/>
      <c r="R173" s="37">
        <v>357</v>
      </c>
      <c r="S173" s="103"/>
      <c r="T173" s="10">
        <v>85.9</v>
      </c>
      <c r="U173" s="106"/>
    </row>
    <row r="174" spans="1:21">
      <c r="A174" s="6">
        <v>169</v>
      </c>
      <c r="B174" s="76"/>
      <c r="C174" s="7">
        <v>4</v>
      </c>
      <c r="D174" s="8">
        <v>5.6</v>
      </c>
      <c r="E174" s="93"/>
      <c r="F174" s="9">
        <v>48</v>
      </c>
      <c r="G174" s="109"/>
      <c r="H174" s="9">
        <v>90</v>
      </c>
      <c r="I174" s="100"/>
      <c r="J174" s="9">
        <v>180</v>
      </c>
      <c r="K174" s="96"/>
      <c r="L174" s="37">
        <v>6.3</v>
      </c>
      <c r="M174" s="103"/>
      <c r="N174" s="37">
        <v>131</v>
      </c>
      <c r="O174" s="103"/>
      <c r="P174" s="37">
        <v>350</v>
      </c>
      <c r="Q174" s="103"/>
      <c r="R174" s="37">
        <v>345</v>
      </c>
      <c r="S174" s="103"/>
      <c r="T174" s="10">
        <v>84.5</v>
      </c>
      <c r="U174" s="106"/>
    </row>
    <row r="175" spans="1:21">
      <c r="A175" s="6">
        <v>170</v>
      </c>
      <c r="B175" s="76"/>
      <c r="C175" s="7">
        <v>5</v>
      </c>
      <c r="D175" s="8">
        <v>5.8</v>
      </c>
      <c r="E175" s="94"/>
      <c r="F175" s="9">
        <v>48</v>
      </c>
      <c r="G175" s="110"/>
      <c r="H175" s="9">
        <v>136</v>
      </c>
      <c r="I175" s="101"/>
      <c r="J175" s="9">
        <v>163</v>
      </c>
      <c r="K175" s="97"/>
      <c r="L175" s="37">
        <v>6.2</v>
      </c>
      <c r="M175" s="104"/>
      <c r="N175" s="37">
        <v>146</v>
      </c>
      <c r="O175" s="104"/>
      <c r="P175" s="37">
        <v>382</v>
      </c>
      <c r="Q175" s="104"/>
      <c r="R175" s="37">
        <v>378</v>
      </c>
      <c r="S175" s="104"/>
      <c r="T175" s="10">
        <v>89.8</v>
      </c>
      <c r="U175" s="107"/>
    </row>
    <row r="176" spans="1:21">
      <c r="A176" s="6">
        <v>171</v>
      </c>
      <c r="B176" s="76" t="s">
        <v>23</v>
      </c>
      <c r="C176" s="7">
        <v>1</v>
      </c>
      <c r="D176" s="8">
        <v>5.9</v>
      </c>
      <c r="E176" s="92">
        <f t="shared" ref="E176" si="294">AVERAGE(D176:D180)</f>
        <v>5.6800000000000006</v>
      </c>
      <c r="F176" s="9">
        <v>62</v>
      </c>
      <c r="G176" s="108">
        <f t="shared" ref="G176" si="295">AVERAGE(F176:F180)</f>
        <v>51.8</v>
      </c>
      <c r="H176" s="9">
        <v>152</v>
      </c>
      <c r="I176" s="99">
        <f t="shared" ref="I176" si="296">AVERAGE(H176:H180)</f>
        <v>109.2</v>
      </c>
      <c r="J176" s="9">
        <v>248</v>
      </c>
      <c r="K176" s="95">
        <f t="shared" ref="K176" si="297">AVERAGE(J176:J180)</f>
        <v>177.2</v>
      </c>
      <c r="L176" s="37">
        <v>6.2</v>
      </c>
      <c r="M176" s="102">
        <f t="shared" ref="M176" si="298">AVERAGE(L176:L180)</f>
        <v>6.4799999999999995</v>
      </c>
      <c r="N176" s="37">
        <v>161</v>
      </c>
      <c r="O176" s="102">
        <f t="shared" ref="O176" si="299">AVERAGE(N176:N180)</f>
        <v>161.80000000000001</v>
      </c>
      <c r="P176" s="37">
        <v>419</v>
      </c>
      <c r="Q176" s="102">
        <f t="shared" ref="Q176" si="300">AVERAGE(P176:P180)</f>
        <v>420.6</v>
      </c>
      <c r="R176" s="37">
        <v>414</v>
      </c>
      <c r="S176" s="102">
        <f t="shared" ref="S176" si="301">AVERAGE(R176:R180)</f>
        <v>415.8</v>
      </c>
      <c r="T176" s="10">
        <v>92</v>
      </c>
      <c r="U176" s="105">
        <f t="shared" ref="U176" si="302">AVERAGE(T176:T180)</f>
        <v>91.96</v>
      </c>
    </row>
    <row r="177" spans="1:21">
      <c r="A177" s="6">
        <v>172</v>
      </c>
      <c r="B177" s="76"/>
      <c r="C177" s="7">
        <v>2</v>
      </c>
      <c r="D177" s="8">
        <v>6</v>
      </c>
      <c r="E177" s="93"/>
      <c r="F177" s="9">
        <v>78</v>
      </c>
      <c r="G177" s="109"/>
      <c r="H177" s="9">
        <v>161</v>
      </c>
      <c r="I177" s="100"/>
      <c r="J177" s="9">
        <v>234</v>
      </c>
      <c r="K177" s="96"/>
      <c r="L177" s="37">
        <v>6.6</v>
      </c>
      <c r="M177" s="103"/>
      <c r="N177" s="37">
        <v>167</v>
      </c>
      <c r="O177" s="103"/>
      <c r="P177" s="37">
        <v>432</v>
      </c>
      <c r="Q177" s="103"/>
      <c r="R177" s="37">
        <v>429</v>
      </c>
      <c r="S177" s="103"/>
      <c r="T177" s="10">
        <v>90.2</v>
      </c>
      <c r="U177" s="106"/>
    </row>
    <row r="178" spans="1:21">
      <c r="A178" s="6">
        <v>173</v>
      </c>
      <c r="B178" s="76"/>
      <c r="C178" s="7">
        <v>3</v>
      </c>
      <c r="D178" s="8">
        <v>5.6</v>
      </c>
      <c r="E178" s="93"/>
      <c r="F178" s="9">
        <v>34</v>
      </c>
      <c r="G178" s="109"/>
      <c r="H178" s="9">
        <v>45</v>
      </c>
      <c r="I178" s="100"/>
      <c r="J178" s="9">
        <v>118</v>
      </c>
      <c r="K178" s="96"/>
      <c r="L178" s="37">
        <v>6.6</v>
      </c>
      <c r="M178" s="103"/>
      <c r="N178" s="37">
        <v>148</v>
      </c>
      <c r="O178" s="103"/>
      <c r="P178" s="37">
        <v>390</v>
      </c>
      <c r="Q178" s="103"/>
      <c r="R178" s="37">
        <v>385</v>
      </c>
      <c r="S178" s="103"/>
      <c r="T178" s="10">
        <v>93.2</v>
      </c>
      <c r="U178" s="106"/>
    </row>
    <row r="179" spans="1:21">
      <c r="A179" s="6">
        <v>174</v>
      </c>
      <c r="B179" s="76"/>
      <c r="C179" s="7">
        <v>4</v>
      </c>
      <c r="D179" s="8">
        <v>5.0999999999999996</v>
      </c>
      <c r="E179" s="93"/>
      <c r="F179" s="9">
        <v>45</v>
      </c>
      <c r="G179" s="109"/>
      <c r="H179" s="9">
        <v>108</v>
      </c>
      <c r="I179" s="100"/>
      <c r="J179" s="9">
        <v>146</v>
      </c>
      <c r="K179" s="96"/>
      <c r="L179" s="37">
        <v>6.5</v>
      </c>
      <c r="M179" s="103"/>
      <c r="N179" s="37">
        <v>169</v>
      </c>
      <c r="O179" s="103"/>
      <c r="P179" s="37">
        <v>437</v>
      </c>
      <c r="Q179" s="103"/>
      <c r="R179" s="37">
        <v>431</v>
      </c>
      <c r="S179" s="103"/>
      <c r="T179" s="10">
        <v>92</v>
      </c>
      <c r="U179" s="106"/>
    </row>
    <row r="180" spans="1:21">
      <c r="A180" s="6">
        <v>175</v>
      </c>
      <c r="B180" s="76"/>
      <c r="C180" s="7">
        <v>5</v>
      </c>
      <c r="D180" s="8">
        <v>5.8</v>
      </c>
      <c r="E180" s="94"/>
      <c r="F180" s="9">
        <v>40</v>
      </c>
      <c r="G180" s="110"/>
      <c r="H180" s="9">
        <v>80</v>
      </c>
      <c r="I180" s="101"/>
      <c r="J180" s="9">
        <v>140</v>
      </c>
      <c r="K180" s="97"/>
      <c r="L180" s="37">
        <v>6.5</v>
      </c>
      <c r="M180" s="104"/>
      <c r="N180" s="37">
        <v>164</v>
      </c>
      <c r="O180" s="104"/>
      <c r="P180" s="37">
        <v>425</v>
      </c>
      <c r="Q180" s="104"/>
      <c r="R180" s="37">
        <v>420</v>
      </c>
      <c r="S180" s="104"/>
      <c r="T180" s="10">
        <v>92.4</v>
      </c>
      <c r="U180" s="107"/>
    </row>
  </sheetData>
  <mergeCells count="358">
    <mergeCell ref="K171:K175"/>
    <mergeCell ref="U176:U180"/>
    <mergeCell ref="S176:S180"/>
    <mergeCell ref="Q176:Q180"/>
    <mergeCell ref="O176:O180"/>
    <mergeCell ref="M176:M180"/>
    <mergeCell ref="K176:K180"/>
    <mergeCell ref="U171:U175"/>
    <mergeCell ref="S171:S175"/>
    <mergeCell ref="Q171:Q175"/>
    <mergeCell ref="O171:O175"/>
    <mergeCell ref="M171:M175"/>
    <mergeCell ref="K161:K165"/>
    <mergeCell ref="U166:U170"/>
    <mergeCell ref="S166:S170"/>
    <mergeCell ref="Q166:Q170"/>
    <mergeCell ref="O166:O170"/>
    <mergeCell ref="M166:M170"/>
    <mergeCell ref="K166:K170"/>
    <mergeCell ref="U161:U165"/>
    <mergeCell ref="S161:S165"/>
    <mergeCell ref="Q161:Q165"/>
    <mergeCell ref="O161:O165"/>
    <mergeCell ref="M161:M165"/>
    <mergeCell ref="K151:K155"/>
    <mergeCell ref="U156:U160"/>
    <mergeCell ref="S156:S160"/>
    <mergeCell ref="Q156:Q160"/>
    <mergeCell ref="O156:O160"/>
    <mergeCell ref="M156:M160"/>
    <mergeCell ref="K156:K160"/>
    <mergeCell ref="K141:K145"/>
    <mergeCell ref="M146:M150"/>
    <mergeCell ref="K146:K150"/>
    <mergeCell ref="U146:U150"/>
    <mergeCell ref="S146:S150"/>
    <mergeCell ref="Q146:Q150"/>
    <mergeCell ref="O146:O150"/>
    <mergeCell ref="U151:U155"/>
    <mergeCell ref="S151:S155"/>
    <mergeCell ref="Q151:Q155"/>
    <mergeCell ref="O151:O155"/>
    <mergeCell ref="M151:M155"/>
    <mergeCell ref="K131:K135"/>
    <mergeCell ref="M136:M140"/>
    <mergeCell ref="K136:K140"/>
    <mergeCell ref="U136:U140"/>
    <mergeCell ref="S136:S140"/>
    <mergeCell ref="Q136:Q140"/>
    <mergeCell ref="O136:O140"/>
    <mergeCell ref="U141:U145"/>
    <mergeCell ref="S141:S145"/>
    <mergeCell ref="Q141:Q145"/>
    <mergeCell ref="O141:O145"/>
    <mergeCell ref="M141:M145"/>
    <mergeCell ref="U131:U135"/>
    <mergeCell ref="S131:S135"/>
    <mergeCell ref="Q131:Q135"/>
    <mergeCell ref="O131:O135"/>
    <mergeCell ref="M131:M135"/>
    <mergeCell ref="K121:K125"/>
    <mergeCell ref="U126:U130"/>
    <mergeCell ref="S126:S130"/>
    <mergeCell ref="Q126:Q130"/>
    <mergeCell ref="O126:O130"/>
    <mergeCell ref="M126:M130"/>
    <mergeCell ref="K126:K130"/>
    <mergeCell ref="U121:U125"/>
    <mergeCell ref="S121:S125"/>
    <mergeCell ref="Q121:Q125"/>
    <mergeCell ref="O121:O125"/>
    <mergeCell ref="M121:M125"/>
    <mergeCell ref="K111:K115"/>
    <mergeCell ref="U116:U120"/>
    <mergeCell ref="S116:S120"/>
    <mergeCell ref="Q116:Q120"/>
    <mergeCell ref="O116:O120"/>
    <mergeCell ref="M116:M120"/>
    <mergeCell ref="K116:K120"/>
    <mergeCell ref="U111:U115"/>
    <mergeCell ref="S111:S115"/>
    <mergeCell ref="Q111:Q115"/>
    <mergeCell ref="O111:O115"/>
    <mergeCell ref="M111:M115"/>
    <mergeCell ref="K101:K105"/>
    <mergeCell ref="U106:U110"/>
    <mergeCell ref="S106:S110"/>
    <mergeCell ref="Q106:Q110"/>
    <mergeCell ref="O106:O110"/>
    <mergeCell ref="M106:M110"/>
    <mergeCell ref="K106:K110"/>
    <mergeCell ref="U101:U105"/>
    <mergeCell ref="S101:S105"/>
    <mergeCell ref="Q101:Q105"/>
    <mergeCell ref="O101:O105"/>
    <mergeCell ref="M101:M105"/>
    <mergeCell ref="K91:K95"/>
    <mergeCell ref="U96:U100"/>
    <mergeCell ref="S96:S100"/>
    <mergeCell ref="Q96:Q100"/>
    <mergeCell ref="O96:O100"/>
    <mergeCell ref="M96:M100"/>
    <mergeCell ref="K96:K100"/>
    <mergeCell ref="U91:U95"/>
    <mergeCell ref="S91:S95"/>
    <mergeCell ref="Q91:Q95"/>
    <mergeCell ref="O91:O95"/>
    <mergeCell ref="M91:M95"/>
    <mergeCell ref="K81:K85"/>
    <mergeCell ref="U86:U90"/>
    <mergeCell ref="S86:S90"/>
    <mergeCell ref="Q86:Q90"/>
    <mergeCell ref="O86:O90"/>
    <mergeCell ref="M86:M90"/>
    <mergeCell ref="K86:K90"/>
    <mergeCell ref="U81:U85"/>
    <mergeCell ref="S81:S85"/>
    <mergeCell ref="Q81:Q85"/>
    <mergeCell ref="O81:O85"/>
    <mergeCell ref="M81:M85"/>
    <mergeCell ref="U71:U75"/>
    <mergeCell ref="K76:K80"/>
    <mergeCell ref="M76:M80"/>
    <mergeCell ref="O76:O80"/>
    <mergeCell ref="Q76:Q80"/>
    <mergeCell ref="U76:U80"/>
    <mergeCell ref="S76:S80"/>
    <mergeCell ref="K71:K75"/>
    <mergeCell ref="M71:M75"/>
    <mergeCell ref="O71:O75"/>
    <mergeCell ref="Q71:Q75"/>
    <mergeCell ref="S71:S75"/>
    <mergeCell ref="U61:U65"/>
    <mergeCell ref="K66:K70"/>
    <mergeCell ref="M66:M70"/>
    <mergeCell ref="O66:O70"/>
    <mergeCell ref="Q66:Q70"/>
    <mergeCell ref="S66:S70"/>
    <mergeCell ref="U66:U70"/>
    <mergeCell ref="K61:K65"/>
    <mergeCell ref="M61:M65"/>
    <mergeCell ref="O61:O65"/>
    <mergeCell ref="Q61:Q65"/>
    <mergeCell ref="S61:S65"/>
    <mergeCell ref="U51:U55"/>
    <mergeCell ref="K56:K60"/>
    <mergeCell ref="M56:M60"/>
    <mergeCell ref="O56:O60"/>
    <mergeCell ref="Q56:Q60"/>
    <mergeCell ref="S56:S60"/>
    <mergeCell ref="U56:U60"/>
    <mergeCell ref="K51:K55"/>
    <mergeCell ref="M51:M55"/>
    <mergeCell ref="O51:O55"/>
    <mergeCell ref="Q51:Q55"/>
    <mergeCell ref="S51:S55"/>
    <mergeCell ref="U41:U45"/>
    <mergeCell ref="K46:K50"/>
    <mergeCell ref="M46:M50"/>
    <mergeCell ref="O46:O50"/>
    <mergeCell ref="Q46:Q50"/>
    <mergeCell ref="S46:S50"/>
    <mergeCell ref="U46:U50"/>
    <mergeCell ref="K41:K45"/>
    <mergeCell ref="M41:M45"/>
    <mergeCell ref="O41:O45"/>
    <mergeCell ref="Q41:Q45"/>
    <mergeCell ref="S41:S45"/>
    <mergeCell ref="K36:K40"/>
    <mergeCell ref="M36:M40"/>
    <mergeCell ref="O36:O40"/>
    <mergeCell ref="Q36:Q40"/>
    <mergeCell ref="S36:S40"/>
    <mergeCell ref="U36:U40"/>
    <mergeCell ref="K31:K35"/>
    <mergeCell ref="M31:M35"/>
    <mergeCell ref="O31:O35"/>
    <mergeCell ref="Q31:Q35"/>
    <mergeCell ref="S31:S35"/>
    <mergeCell ref="S11:S15"/>
    <mergeCell ref="U11:U15"/>
    <mergeCell ref="K16:K20"/>
    <mergeCell ref="M16:M20"/>
    <mergeCell ref="O16:O20"/>
    <mergeCell ref="Q16:Q20"/>
    <mergeCell ref="S16:S20"/>
    <mergeCell ref="U16:U20"/>
    <mergeCell ref="I31:I35"/>
    <mergeCell ref="I26:I30"/>
    <mergeCell ref="I21:I25"/>
    <mergeCell ref="I16:I20"/>
    <mergeCell ref="I11:I15"/>
    <mergeCell ref="M26:M30"/>
    <mergeCell ref="O26:O30"/>
    <mergeCell ref="Q26:Q30"/>
    <mergeCell ref="S26:S30"/>
    <mergeCell ref="U26:U30"/>
    <mergeCell ref="M21:M25"/>
    <mergeCell ref="O21:O25"/>
    <mergeCell ref="Q21:Q25"/>
    <mergeCell ref="S21:S25"/>
    <mergeCell ref="U21:U25"/>
    <mergeCell ref="U31:U35"/>
    <mergeCell ref="I56:I60"/>
    <mergeCell ref="I51:I55"/>
    <mergeCell ref="I46:I50"/>
    <mergeCell ref="I41:I45"/>
    <mergeCell ref="I36:I40"/>
    <mergeCell ref="I81:I85"/>
    <mergeCell ref="I76:I80"/>
    <mergeCell ref="I71:I75"/>
    <mergeCell ref="I66:I70"/>
    <mergeCell ref="I61:I65"/>
    <mergeCell ref="I106:I110"/>
    <mergeCell ref="I101:I105"/>
    <mergeCell ref="I96:I100"/>
    <mergeCell ref="I91:I95"/>
    <mergeCell ref="I86:I90"/>
    <mergeCell ref="I131:I135"/>
    <mergeCell ref="I126:I130"/>
    <mergeCell ref="I121:I125"/>
    <mergeCell ref="I116:I120"/>
    <mergeCell ref="I111:I115"/>
    <mergeCell ref="I156:I160"/>
    <mergeCell ref="I151:I155"/>
    <mergeCell ref="I146:I150"/>
    <mergeCell ref="I141:I145"/>
    <mergeCell ref="I136:I140"/>
    <mergeCell ref="G176:G180"/>
    <mergeCell ref="I176:I180"/>
    <mergeCell ref="I171:I175"/>
    <mergeCell ref="I166:I170"/>
    <mergeCell ref="I161:I165"/>
    <mergeCell ref="G151:G155"/>
    <mergeCell ref="G156:G160"/>
    <mergeCell ref="G161:G165"/>
    <mergeCell ref="G166:G170"/>
    <mergeCell ref="G171:G175"/>
    <mergeCell ref="G126:G130"/>
    <mergeCell ref="G131:G135"/>
    <mergeCell ref="G136:G140"/>
    <mergeCell ref="G141:G145"/>
    <mergeCell ref="G146:G150"/>
    <mergeCell ref="G101:G105"/>
    <mergeCell ref="G106:G110"/>
    <mergeCell ref="G111:G115"/>
    <mergeCell ref="G116:G120"/>
    <mergeCell ref="G121:G125"/>
    <mergeCell ref="G76:G80"/>
    <mergeCell ref="G81:G85"/>
    <mergeCell ref="G86:G90"/>
    <mergeCell ref="G91:G95"/>
    <mergeCell ref="G96:G100"/>
    <mergeCell ref="E171:E175"/>
    <mergeCell ref="E176:E180"/>
    <mergeCell ref="G6:G10"/>
    <mergeCell ref="G11:G15"/>
    <mergeCell ref="G16:G20"/>
    <mergeCell ref="G21:G25"/>
    <mergeCell ref="G26:G30"/>
    <mergeCell ref="G31:G35"/>
    <mergeCell ref="G36:G40"/>
    <mergeCell ref="G41:G45"/>
    <mergeCell ref="G46:G50"/>
    <mergeCell ref="G51:G55"/>
    <mergeCell ref="G56:G60"/>
    <mergeCell ref="G61:G65"/>
    <mergeCell ref="G66:G70"/>
    <mergeCell ref="G71:G75"/>
    <mergeCell ref="E151:E155"/>
    <mergeCell ref="E156:E160"/>
    <mergeCell ref="E161:E165"/>
    <mergeCell ref="E166:E170"/>
    <mergeCell ref="E126:E130"/>
    <mergeCell ref="E131:E135"/>
    <mergeCell ref="E136:E140"/>
    <mergeCell ref="E141:E145"/>
    <mergeCell ref="E146:E150"/>
    <mergeCell ref="E101:E105"/>
    <mergeCell ref="E106:E110"/>
    <mergeCell ref="E111:E115"/>
    <mergeCell ref="E116:E120"/>
    <mergeCell ref="E121:E125"/>
    <mergeCell ref="E81:E85"/>
    <mergeCell ref="E86:E90"/>
    <mergeCell ref="E91:E95"/>
    <mergeCell ref="E96:E100"/>
    <mergeCell ref="E56:E60"/>
    <mergeCell ref="E61:E65"/>
    <mergeCell ref="E66:E70"/>
    <mergeCell ref="E71:E75"/>
    <mergeCell ref="E76:E80"/>
    <mergeCell ref="E26:E30"/>
    <mergeCell ref="K21:K25"/>
    <mergeCell ref="K26:K30"/>
    <mergeCell ref="E31:E35"/>
    <mergeCell ref="E36:E40"/>
    <mergeCell ref="E41:E45"/>
    <mergeCell ref="E46:E50"/>
    <mergeCell ref="E51:E55"/>
    <mergeCell ref="L4:U4"/>
    <mergeCell ref="E6:E10"/>
    <mergeCell ref="E11:E15"/>
    <mergeCell ref="E16:E20"/>
    <mergeCell ref="E21:E25"/>
    <mergeCell ref="I6:I10"/>
    <mergeCell ref="K6:K10"/>
    <mergeCell ref="M6:M10"/>
    <mergeCell ref="O6:O10"/>
    <mergeCell ref="Q6:Q10"/>
    <mergeCell ref="S6:S10"/>
    <mergeCell ref="U6:U10"/>
    <mergeCell ref="K11:K15"/>
    <mergeCell ref="M11:M15"/>
    <mergeCell ref="O11:O15"/>
    <mergeCell ref="Q11:Q15"/>
    <mergeCell ref="B1:J1"/>
    <mergeCell ref="B4:B5"/>
    <mergeCell ref="C4:C5"/>
    <mergeCell ref="B6:B10"/>
    <mergeCell ref="B16:B20"/>
    <mergeCell ref="B11:B15"/>
    <mergeCell ref="E4:E5"/>
    <mergeCell ref="F3:J3"/>
    <mergeCell ref="F4:K4"/>
    <mergeCell ref="B76:B80"/>
    <mergeCell ref="B31:B35"/>
    <mergeCell ref="B36:B40"/>
    <mergeCell ref="B41:B45"/>
    <mergeCell ref="B46:B50"/>
    <mergeCell ref="B51:B55"/>
    <mergeCell ref="B166:B170"/>
    <mergeCell ref="B21:B25"/>
    <mergeCell ref="B26:B30"/>
    <mergeCell ref="B171:B175"/>
    <mergeCell ref="B176:B180"/>
    <mergeCell ref="B131:B135"/>
    <mergeCell ref="B136:B140"/>
    <mergeCell ref="B141:B145"/>
    <mergeCell ref="B146:B150"/>
    <mergeCell ref="B151:B155"/>
    <mergeCell ref="A4:A5"/>
    <mergeCell ref="B156:B160"/>
    <mergeCell ref="B161:B165"/>
    <mergeCell ref="B106:B110"/>
    <mergeCell ref="B111:B115"/>
    <mergeCell ref="B116:B120"/>
    <mergeCell ref="B121:B125"/>
    <mergeCell ref="B126:B130"/>
    <mergeCell ref="B81:B85"/>
    <mergeCell ref="B86:B90"/>
    <mergeCell ref="B91:B95"/>
    <mergeCell ref="B96:B100"/>
    <mergeCell ref="B101:B105"/>
    <mergeCell ref="B56:B60"/>
    <mergeCell ref="B61:B65"/>
    <mergeCell ref="B66:B70"/>
    <mergeCell ref="B71:B7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626F-0394-439D-BD8D-24E0C0E6649D}">
  <dimension ref="B2:G38"/>
  <sheetViews>
    <sheetView topLeftCell="B1" workbookViewId="0">
      <selection activeCell="J32" sqref="J32"/>
    </sheetView>
  </sheetViews>
  <sheetFormatPr defaultRowHeight="14.25"/>
  <cols>
    <col min="4" max="5" width="22.25" customWidth="1"/>
    <col min="6" max="6" width="15.75" customWidth="1"/>
    <col min="7" max="7" width="17.5" customWidth="1"/>
  </cols>
  <sheetData>
    <row r="2" spans="2:7">
      <c r="G2" s="57"/>
    </row>
    <row r="3" spans="2:7" ht="30">
      <c r="B3" s="52" t="s">
        <v>82</v>
      </c>
      <c r="C3" s="49" t="s">
        <v>30</v>
      </c>
      <c r="D3" s="49" t="s">
        <v>51</v>
      </c>
      <c r="E3" s="49" t="s">
        <v>99</v>
      </c>
      <c r="F3" s="55" t="s">
        <v>97</v>
      </c>
      <c r="G3" s="52" t="s">
        <v>94</v>
      </c>
    </row>
    <row r="4" spans="2:7" ht="15.75">
      <c r="B4" s="111" t="s">
        <v>44</v>
      </c>
      <c r="C4" s="6">
        <v>1</v>
      </c>
      <c r="D4" s="29" t="s">
        <v>53</v>
      </c>
      <c r="E4" s="53">
        <v>48.684406124572618</v>
      </c>
      <c r="F4" s="6">
        <v>91.4</v>
      </c>
      <c r="G4" s="58">
        <f>F4-E4</f>
        <v>42.715593875427388</v>
      </c>
    </row>
    <row r="5" spans="2:7" ht="15.75">
      <c r="B5" s="111"/>
      <c r="C5" s="6">
        <v>2</v>
      </c>
      <c r="D5" s="29" t="s">
        <v>54</v>
      </c>
      <c r="E5" s="53">
        <v>46.781052940313856</v>
      </c>
      <c r="F5" s="6">
        <v>83.14</v>
      </c>
      <c r="G5" s="58">
        <f t="shared" ref="G5:G38" si="0">F5-E5</f>
        <v>36.358947059686145</v>
      </c>
    </row>
    <row r="6" spans="2:7" ht="15.75">
      <c r="B6" s="111"/>
      <c r="C6" s="6">
        <v>3</v>
      </c>
      <c r="D6" s="29" t="s">
        <v>55</v>
      </c>
      <c r="E6" s="53">
        <v>44.704861111111121</v>
      </c>
      <c r="F6" s="6">
        <v>87.24</v>
      </c>
      <c r="G6" s="58">
        <f t="shared" si="0"/>
        <v>42.535138888888874</v>
      </c>
    </row>
    <row r="7" spans="2:7" ht="15.75">
      <c r="B7" s="111"/>
      <c r="C7" s="6">
        <v>4</v>
      </c>
      <c r="D7" s="29" t="s">
        <v>56</v>
      </c>
      <c r="E7" s="53">
        <v>48.442598635419763</v>
      </c>
      <c r="F7" s="6">
        <v>89.48</v>
      </c>
      <c r="G7" s="58">
        <f t="shared" si="0"/>
        <v>41.037401364580241</v>
      </c>
    </row>
    <row r="8" spans="2:7" ht="15.75">
      <c r="B8" s="111"/>
      <c r="C8" s="6">
        <v>5</v>
      </c>
      <c r="D8" s="29" t="s">
        <v>57</v>
      </c>
      <c r="E8" s="53">
        <v>36.862262344412549</v>
      </c>
      <c r="F8" s="6">
        <v>80.12</v>
      </c>
      <c r="G8" s="58">
        <f t="shared" si="0"/>
        <v>43.257737655587455</v>
      </c>
    </row>
    <row r="9" spans="2:7" ht="15.75">
      <c r="B9" s="111" t="s">
        <v>45</v>
      </c>
      <c r="C9" s="6">
        <v>1</v>
      </c>
      <c r="D9" s="29" t="s">
        <v>58</v>
      </c>
      <c r="E9" s="53">
        <v>43.527554535017231</v>
      </c>
      <c r="F9" s="6">
        <v>86.68</v>
      </c>
      <c r="G9" s="58">
        <f t="shared" si="0"/>
        <v>43.152445464982776</v>
      </c>
    </row>
    <row r="10" spans="2:7" ht="15.75">
      <c r="B10" s="111"/>
      <c r="C10" s="6">
        <v>2</v>
      </c>
      <c r="D10" s="29" t="s">
        <v>59</v>
      </c>
      <c r="E10" s="53">
        <v>50.36836565929935</v>
      </c>
      <c r="F10" s="6">
        <v>90.72</v>
      </c>
      <c r="G10" s="58">
        <f t="shared" si="0"/>
        <v>40.351634340700649</v>
      </c>
    </row>
    <row r="11" spans="2:7" ht="15.75">
      <c r="B11" s="111"/>
      <c r="C11" s="6">
        <v>3</v>
      </c>
      <c r="D11" s="29" t="s">
        <v>60</v>
      </c>
      <c r="E11" s="53">
        <v>47.929606625258792</v>
      </c>
      <c r="F11" s="6">
        <v>90.56</v>
      </c>
      <c r="G11" s="58">
        <f t="shared" si="0"/>
        <v>42.63039337474121</v>
      </c>
    </row>
    <row r="12" spans="2:7" ht="15.75">
      <c r="B12" s="111"/>
      <c r="C12" s="6">
        <v>4</v>
      </c>
      <c r="D12" s="29" t="s">
        <v>61</v>
      </c>
      <c r="E12" s="53">
        <v>67.301905717151428</v>
      </c>
      <c r="F12" s="6">
        <v>99.2</v>
      </c>
      <c r="G12" s="58">
        <f t="shared" si="0"/>
        <v>31.898094282848575</v>
      </c>
    </row>
    <row r="13" spans="2:7" ht="15.75">
      <c r="B13" s="111"/>
      <c r="C13" s="6">
        <v>5</v>
      </c>
      <c r="D13" s="29" t="s">
        <v>62</v>
      </c>
      <c r="E13" s="53">
        <v>81.755406142104277</v>
      </c>
      <c r="F13" s="6">
        <v>100</v>
      </c>
      <c r="G13" s="58">
        <f t="shared" si="0"/>
        <v>18.244593857895723</v>
      </c>
    </row>
    <row r="14" spans="2:7" ht="15.75">
      <c r="B14" s="111" t="s">
        <v>46</v>
      </c>
      <c r="C14" s="6">
        <v>1</v>
      </c>
      <c r="D14" s="29" t="s">
        <v>63</v>
      </c>
      <c r="E14" s="53">
        <v>46.114519427402861</v>
      </c>
      <c r="F14" s="6">
        <v>74.5</v>
      </c>
      <c r="G14" s="58">
        <f t="shared" si="0"/>
        <v>28.385480572597139</v>
      </c>
    </row>
    <row r="15" spans="2:7" ht="15.75">
      <c r="B15" s="111"/>
      <c r="C15" s="6">
        <v>2</v>
      </c>
      <c r="D15" s="29" t="s">
        <v>53</v>
      </c>
      <c r="E15" s="53">
        <v>40.339553809456987</v>
      </c>
      <c r="F15" s="6">
        <v>74.5</v>
      </c>
      <c r="G15" s="58">
        <f t="shared" si="0"/>
        <v>34.160446190543013</v>
      </c>
    </row>
    <row r="16" spans="2:7" ht="15.75">
      <c r="B16" s="111"/>
      <c r="C16" s="6">
        <v>3</v>
      </c>
      <c r="D16" s="29" t="s">
        <v>64</v>
      </c>
      <c r="E16" s="53">
        <v>47.082169631045133</v>
      </c>
      <c r="F16" s="6">
        <v>72.180000000000007</v>
      </c>
      <c r="G16" s="58">
        <f t="shared" si="0"/>
        <v>25.097830368954874</v>
      </c>
    </row>
    <row r="17" spans="2:7" ht="31.5">
      <c r="B17" s="111"/>
      <c r="C17" s="6">
        <v>4</v>
      </c>
      <c r="D17" s="30" t="s">
        <v>66</v>
      </c>
      <c r="E17" s="53">
        <v>73.109534521543537</v>
      </c>
      <c r="F17" s="6">
        <v>96.88</v>
      </c>
      <c r="G17" s="58">
        <f t="shared" si="0"/>
        <v>23.770465478456458</v>
      </c>
    </row>
    <row r="18" spans="2:7" ht="47.25">
      <c r="B18" s="111"/>
      <c r="C18" s="6">
        <v>5</v>
      </c>
      <c r="D18" s="30" t="s">
        <v>68</v>
      </c>
      <c r="E18" s="53">
        <v>75.240932188540384</v>
      </c>
      <c r="F18" s="6">
        <v>98.4</v>
      </c>
      <c r="G18" s="58">
        <f t="shared" si="0"/>
        <v>23.159067811459622</v>
      </c>
    </row>
    <row r="19" spans="2:7" ht="15.75">
      <c r="B19" s="111" t="s">
        <v>47</v>
      </c>
      <c r="C19" s="6">
        <v>1</v>
      </c>
      <c r="D19" s="29" t="s">
        <v>69</v>
      </c>
      <c r="E19" s="53">
        <v>50.875075437537717</v>
      </c>
      <c r="F19" s="6">
        <v>88.76</v>
      </c>
      <c r="G19" s="58">
        <f t="shared" si="0"/>
        <v>37.884924562462288</v>
      </c>
    </row>
    <row r="20" spans="2:7" ht="15.75">
      <c r="B20" s="111"/>
      <c r="C20" s="6">
        <v>2</v>
      </c>
      <c r="D20" s="29" t="s">
        <v>53</v>
      </c>
      <c r="E20" s="53">
        <v>55.51927860696518</v>
      </c>
      <c r="F20" s="6">
        <v>90.66</v>
      </c>
      <c r="G20" s="58">
        <f t="shared" si="0"/>
        <v>35.140721393034816</v>
      </c>
    </row>
    <row r="21" spans="2:7" ht="15.75">
      <c r="B21" s="111"/>
      <c r="C21" s="6">
        <v>3</v>
      </c>
      <c r="D21" s="29" t="s">
        <v>63</v>
      </c>
      <c r="E21" s="53">
        <v>52.84229828850858</v>
      </c>
      <c r="F21" s="6">
        <v>92.44</v>
      </c>
      <c r="G21" s="58">
        <f t="shared" si="0"/>
        <v>39.597701711491418</v>
      </c>
    </row>
    <row r="22" spans="2:7" ht="15.75">
      <c r="B22" s="111"/>
      <c r="C22" s="6">
        <v>4</v>
      </c>
      <c r="D22" s="29" t="s">
        <v>70</v>
      </c>
      <c r="E22" s="53">
        <v>46.115654205607484</v>
      </c>
      <c r="F22" s="6">
        <v>80.16</v>
      </c>
      <c r="G22" s="58">
        <f t="shared" si="0"/>
        <v>34.044345794392513</v>
      </c>
    </row>
    <row r="23" spans="2:7" ht="31.5">
      <c r="B23" s="111"/>
      <c r="C23" s="6">
        <v>5</v>
      </c>
      <c r="D23" s="30" t="s">
        <v>71</v>
      </c>
      <c r="E23" s="53">
        <v>44.917463075586426</v>
      </c>
      <c r="F23" s="6">
        <v>70.2</v>
      </c>
      <c r="G23" s="58">
        <f t="shared" si="0"/>
        <v>25.282536924413577</v>
      </c>
    </row>
    <row r="24" spans="2:7" ht="15.75">
      <c r="B24" s="111" t="s">
        <v>48</v>
      </c>
      <c r="C24" s="6">
        <v>1</v>
      </c>
      <c r="D24" s="29" t="s">
        <v>53</v>
      </c>
      <c r="E24" s="53">
        <v>55.912135846705091</v>
      </c>
      <c r="F24" s="6">
        <v>88.32</v>
      </c>
      <c r="G24" s="58">
        <f t="shared" si="0"/>
        <v>32.407864153294902</v>
      </c>
    </row>
    <row r="25" spans="2:7" ht="15.75">
      <c r="B25" s="111"/>
      <c r="C25" s="6">
        <v>2</v>
      </c>
      <c r="D25" s="29" t="s">
        <v>63</v>
      </c>
      <c r="E25" s="53">
        <v>49.476831091180877</v>
      </c>
      <c r="F25" s="6">
        <v>76.66</v>
      </c>
      <c r="G25" s="58">
        <f t="shared" si="0"/>
        <v>27.18316890881912</v>
      </c>
    </row>
    <row r="26" spans="2:7" ht="15.75">
      <c r="B26" s="111"/>
      <c r="C26" s="6">
        <v>3</v>
      </c>
      <c r="D26" s="29" t="s">
        <v>55</v>
      </c>
      <c r="E26" s="53">
        <v>63.240332843857075</v>
      </c>
      <c r="F26" s="6">
        <v>87.96</v>
      </c>
      <c r="G26" s="58">
        <f t="shared" si="0"/>
        <v>24.719667156142918</v>
      </c>
    </row>
    <row r="27" spans="2:7" ht="15.75">
      <c r="B27" s="111"/>
      <c r="C27" s="6">
        <v>4</v>
      </c>
      <c r="D27" s="29" t="s">
        <v>73</v>
      </c>
      <c r="E27" s="53">
        <v>63.16</v>
      </c>
      <c r="F27" s="6">
        <v>95.9</v>
      </c>
      <c r="G27" s="58">
        <f t="shared" si="0"/>
        <v>32.740000000000009</v>
      </c>
    </row>
    <row r="28" spans="2:7" ht="15.75">
      <c r="B28" s="111"/>
      <c r="C28" s="6">
        <v>5</v>
      </c>
      <c r="D28" s="29" t="s">
        <v>64</v>
      </c>
      <c r="E28" s="53">
        <v>46.959459459459474</v>
      </c>
      <c r="F28" s="6">
        <v>85.26</v>
      </c>
      <c r="G28" s="58">
        <f t="shared" si="0"/>
        <v>38.300540540540531</v>
      </c>
    </row>
    <row r="29" spans="2:7" ht="15.75">
      <c r="B29" s="111" t="s">
        <v>49</v>
      </c>
      <c r="C29" s="6">
        <v>1</v>
      </c>
      <c r="D29" s="29" t="s">
        <v>75</v>
      </c>
      <c r="E29" s="53">
        <v>71.181802633829307</v>
      </c>
      <c r="F29" s="6">
        <v>87.14</v>
      </c>
      <c r="G29" s="58">
        <f t="shared" si="0"/>
        <v>15.958197366170694</v>
      </c>
    </row>
    <row r="30" spans="2:7" ht="15.75">
      <c r="B30" s="111"/>
      <c r="C30" s="6">
        <v>2</v>
      </c>
      <c r="D30" s="29" t="s">
        <v>76</v>
      </c>
      <c r="E30" s="53">
        <v>37.885887541345113</v>
      </c>
      <c r="F30" s="6">
        <v>73.8</v>
      </c>
      <c r="G30" s="58">
        <f t="shared" si="0"/>
        <v>35.914112458654884</v>
      </c>
    </row>
    <row r="31" spans="2:7" ht="15.75">
      <c r="B31" s="111"/>
      <c r="C31" s="6">
        <v>3</v>
      </c>
      <c r="D31" s="29" t="s">
        <v>63</v>
      </c>
      <c r="E31" s="53">
        <v>40.694893796595856</v>
      </c>
      <c r="F31" s="6">
        <v>85.5</v>
      </c>
      <c r="G31" s="58">
        <f t="shared" si="0"/>
        <v>44.805106203404144</v>
      </c>
    </row>
    <row r="32" spans="2:7" ht="15.75">
      <c r="B32" s="111"/>
      <c r="C32" s="6">
        <v>4</v>
      </c>
      <c r="D32" s="29" t="s">
        <v>64</v>
      </c>
      <c r="E32" s="53">
        <v>38.47218378079161</v>
      </c>
      <c r="F32" s="6">
        <v>74.94</v>
      </c>
      <c r="G32" s="58">
        <f t="shared" si="0"/>
        <v>36.467816219208387</v>
      </c>
    </row>
    <row r="33" spans="2:7" ht="31.5">
      <c r="B33" s="111"/>
      <c r="C33" s="6">
        <v>5</v>
      </c>
      <c r="D33" s="30" t="s">
        <v>77</v>
      </c>
      <c r="E33" s="53">
        <v>46.652014652014671</v>
      </c>
      <c r="F33" s="6">
        <v>87.64</v>
      </c>
      <c r="G33" s="58">
        <f t="shared" si="0"/>
        <v>40.98798534798533</v>
      </c>
    </row>
    <row r="34" spans="2:7" ht="15.75">
      <c r="B34" s="111" t="s">
        <v>50</v>
      </c>
      <c r="C34" s="6">
        <v>1</v>
      </c>
      <c r="D34" s="29" t="s">
        <v>78</v>
      </c>
      <c r="E34" s="53">
        <v>45.781728107241754</v>
      </c>
      <c r="F34" s="6">
        <v>88.56</v>
      </c>
      <c r="G34" s="58">
        <f t="shared" si="0"/>
        <v>42.778271892758248</v>
      </c>
    </row>
    <row r="35" spans="2:7" ht="15.75">
      <c r="B35" s="111"/>
      <c r="C35" s="6">
        <v>2</v>
      </c>
      <c r="D35" s="29" t="s">
        <v>53</v>
      </c>
      <c r="E35" s="53">
        <v>44.687003035998238</v>
      </c>
      <c r="F35" s="6">
        <v>82.78</v>
      </c>
      <c r="G35" s="58">
        <f t="shared" si="0"/>
        <v>38.092996964001763</v>
      </c>
    </row>
    <row r="36" spans="2:7" ht="15.75">
      <c r="B36" s="111"/>
      <c r="C36" s="6">
        <v>3</v>
      </c>
      <c r="D36" s="29" t="s">
        <v>79</v>
      </c>
      <c r="E36" s="53">
        <v>54.956629491945485</v>
      </c>
      <c r="F36" s="6">
        <v>88.72</v>
      </c>
      <c r="G36" s="58">
        <f t="shared" si="0"/>
        <v>33.763370508054514</v>
      </c>
    </row>
    <row r="37" spans="2:7" ht="15.75">
      <c r="B37" s="111"/>
      <c r="C37" s="6">
        <v>4</v>
      </c>
      <c r="D37" s="29" t="s">
        <v>80</v>
      </c>
      <c r="E37" s="53">
        <v>47.65417527294187</v>
      </c>
      <c r="F37" s="6">
        <v>87.7</v>
      </c>
      <c r="G37" s="58">
        <f t="shared" si="0"/>
        <v>40.045824727058132</v>
      </c>
    </row>
    <row r="38" spans="2:7" ht="15.75">
      <c r="B38" s="111"/>
      <c r="C38" s="6">
        <v>5</v>
      </c>
      <c r="D38" s="29" t="s">
        <v>81</v>
      </c>
      <c r="E38" s="53">
        <v>59.699824365320175</v>
      </c>
      <c r="F38" s="6">
        <v>91.96</v>
      </c>
      <c r="G38" s="58">
        <f t="shared" si="0"/>
        <v>32.260175634679818</v>
      </c>
    </row>
  </sheetData>
  <mergeCells count="7">
    <mergeCell ref="B34:B38"/>
    <mergeCell ref="B4:B8"/>
    <mergeCell ref="B9:B13"/>
    <mergeCell ref="B14:B18"/>
    <mergeCell ref="B19:B23"/>
    <mergeCell ref="B24:B28"/>
    <mergeCell ref="B29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B888-7470-4805-AC7C-93FBDA73A975}">
  <sheetPr codeName="Lembar5"/>
  <dimension ref="B2:M43"/>
  <sheetViews>
    <sheetView workbookViewId="0">
      <selection activeCell="G9" sqref="G9"/>
    </sheetView>
  </sheetViews>
  <sheetFormatPr defaultRowHeight="14.25"/>
  <cols>
    <col min="6" max="6" width="9.875" customWidth="1"/>
    <col min="7" max="7" width="20" customWidth="1"/>
    <col min="8" max="9" width="24.125" customWidth="1"/>
    <col min="10" max="10" width="18.5" style="28" customWidth="1"/>
    <col min="11" max="11" width="17.5" style="28" customWidth="1"/>
    <col min="12" max="12" width="13.5" style="28" customWidth="1"/>
    <col min="13" max="13" width="13.375" style="28" customWidth="1"/>
  </cols>
  <sheetData>
    <row r="2" spans="2:13" ht="15.75">
      <c r="B2" s="132" t="s">
        <v>83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2:13" ht="15.75" customHeight="1">
      <c r="B3" s="125" t="s">
        <v>182</v>
      </c>
      <c r="C3" s="125" t="s">
        <v>181</v>
      </c>
      <c r="D3" s="125" t="s">
        <v>180</v>
      </c>
      <c r="E3" s="133" t="s">
        <v>179</v>
      </c>
      <c r="F3" s="134" t="s">
        <v>195</v>
      </c>
      <c r="G3" s="132" t="s">
        <v>51</v>
      </c>
      <c r="H3" s="132" t="s">
        <v>90</v>
      </c>
      <c r="I3" s="132" t="s">
        <v>172</v>
      </c>
      <c r="J3" s="134" t="s">
        <v>91</v>
      </c>
      <c r="K3" s="134" t="s">
        <v>92</v>
      </c>
      <c r="L3" s="138" t="s">
        <v>95</v>
      </c>
      <c r="M3" s="138"/>
    </row>
    <row r="4" spans="2:13" ht="30">
      <c r="B4" s="125"/>
      <c r="C4" s="125"/>
      <c r="D4" s="125"/>
      <c r="E4" s="133"/>
      <c r="F4" s="134"/>
      <c r="G4" s="132"/>
      <c r="H4" s="132"/>
      <c r="I4" s="132"/>
      <c r="J4" s="134"/>
      <c r="K4" s="134"/>
      <c r="L4" s="137" t="s">
        <v>93</v>
      </c>
      <c r="M4" s="137" t="s">
        <v>94</v>
      </c>
    </row>
    <row r="5" spans="2:13" ht="15.75">
      <c r="B5" s="111">
        <v>1</v>
      </c>
      <c r="C5" s="113" t="s">
        <v>183</v>
      </c>
      <c r="D5" s="113" t="s">
        <v>184</v>
      </c>
      <c r="E5" s="113" t="s">
        <v>185</v>
      </c>
      <c r="F5" s="6">
        <v>1</v>
      </c>
      <c r="G5" s="29" t="s">
        <v>53</v>
      </c>
      <c r="H5" s="46">
        <v>5.23</v>
      </c>
      <c r="I5" s="46" t="s">
        <v>154</v>
      </c>
      <c r="J5" s="31">
        <v>5.54</v>
      </c>
      <c r="K5" s="31">
        <v>5.24</v>
      </c>
      <c r="L5" s="31">
        <f>J5-H5</f>
        <v>0.30999999999999961</v>
      </c>
      <c r="M5" s="31">
        <f>K5-H5</f>
        <v>9.9999999999997868E-3</v>
      </c>
    </row>
    <row r="6" spans="2:13" ht="15.75">
      <c r="B6" s="111"/>
      <c r="C6" s="113"/>
      <c r="D6" s="113"/>
      <c r="E6" s="113"/>
      <c r="F6" s="6">
        <v>2</v>
      </c>
      <c r="G6" s="29" t="s">
        <v>54</v>
      </c>
      <c r="H6" s="46">
        <v>5.55</v>
      </c>
      <c r="I6" s="46" t="s">
        <v>155</v>
      </c>
      <c r="J6" s="31">
        <v>6.08</v>
      </c>
      <c r="K6" s="31">
        <v>5.6</v>
      </c>
      <c r="L6" s="31">
        <f t="shared" ref="L6:L38" si="0">J6-H6</f>
        <v>0.53000000000000025</v>
      </c>
      <c r="M6" s="31">
        <f t="shared" ref="M6:M39" si="1">K6-H6</f>
        <v>4.9999999999999822E-2</v>
      </c>
    </row>
    <row r="7" spans="2:13" ht="15.75">
      <c r="B7" s="111"/>
      <c r="C7" s="113"/>
      <c r="D7" s="113"/>
      <c r="E7" s="113"/>
      <c r="F7" s="6">
        <v>3</v>
      </c>
      <c r="G7" s="29" t="s">
        <v>55</v>
      </c>
      <c r="H7" s="46">
        <v>5.65</v>
      </c>
      <c r="I7" s="46" t="s">
        <v>155</v>
      </c>
      <c r="J7" s="31">
        <v>5.96</v>
      </c>
      <c r="K7" s="31">
        <v>5.78</v>
      </c>
      <c r="L7" s="31">
        <f t="shared" si="0"/>
        <v>0.30999999999999961</v>
      </c>
      <c r="M7" s="31">
        <f t="shared" si="1"/>
        <v>0.12999999999999989</v>
      </c>
    </row>
    <row r="8" spans="2:13" ht="15.75">
      <c r="B8" s="111"/>
      <c r="C8" s="113"/>
      <c r="D8" s="113"/>
      <c r="E8" s="113"/>
      <c r="F8" s="6">
        <v>4</v>
      </c>
      <c r="G8" s="29" t="s">
        <v>56</v>
      </c>
      <c r="H8" s="46">
        <v>5.39</v>
      </c>
      <c r="I8" s="46" t="s">
        <v>154</v>
      </c>
      <c r="J8" s="31">
        <v>5.56</v>
      </c>
      <c r="K8" s="31">
        <v>6.12</v>
      </c>
      <c r="L8" s="31">
        <f t="shared" si="0"/>
        <v>0.16999999999999993</v>
      </c>
      <c r="M8" s="31">
        <f t="shared" si="1"/>
        <v>0.73000000000000043</v>
      </c>
    </row>
    <row r="9" spans="2:13" ht="15.75">
      <c r="B9" s="111"/>
      <c r="C9" s="113"/>
      <c r="D9" s="113"/>
      <c r="E9" s="113"/>
      <c r="F9" s="6">
        <v>5</v>
      </c>
      <c r="G9" s="29" t="s">
        <v>57</v>
      </c>
      <c r="H9" s="46">
        <v>6.13</v>
      </c>
      <c r="I9" s="46" t="s">
        <v>155</v>
      </c>
      <c r="J9" s="31">
        <v>5.62</v>
      </c>
      <c r="K9" s="31">
        <v>6.3</v>
      </c>
      <c r="L9" s="31">
        <f t="shared" si="0"/>
        <v>-0.50999999999999979</v>
      </c>
      <c r="M9" s="31">
        <f t="shared" si="1"/>
        <v>0.16999999999999993</v>
      </c>
    </row>
    <row r="10" spans="2:13" ht="15.75">
      <c r="B10" s="111">
        <v>7</v>
      </c>
      <c r="C10" s="113" t="s">
        <v>186</v>
      </c>
      <c r="D10" s="113" t="s">
        <v>187</v>
      </c>
      <c r="E10" s="113" t="s">
        <v>185</v>
      </c>
      <c r="F10" s="6">
        <v>1</v>
      </c>
      <c r="G10" s="29" t="s">
        <v>58</v>
      </c>
      <c r="H10" s="73">
        <v>6.55</v>
      </c>
      <c r="I10" s="73" t="s">
        <v>155</v>
      </c>
      <c r="J10" s="50">
        <v>6.06</v>
      </c>
      <c r="K10" s="31">
        <v>6.24</v>
      </c>
      <c r="L10" s="50">
        <f t="shared" si="0"/>
        <v>-0.49000000000000021</v>
      </c>
      <c r="M10" s="31">
        <f t="shared" si="1"/>
        <v>-0.30999999999999961</v>
      </c>
    </row>
    <row r="11" spans="2:13" ht="15.75">
      <c r="B11" s="111"/>
      <c r="C11" s="113"/>
      <c r="D11" s="113"/>
      <c r="E11" s="113"/>
      <c r="F11" s="6">
        <v>2</v>
      </c>
      <c r="G11" s="29" t="s">
        <v>59</v>
      </c>
      <c r="H11" s="73">
        <v>6.7</v>
      </c>
      <c r="I11" s="73" t="s">
        <v>156</v>
      </c>
      <c r="J11" s="50">
        <v>5.72</v>
      </c>
      <c r="K11" s="31">
        <v>6.18</v>
      </c>
      <c r="L11" s="50">
        <f t="shared" si="0"/>
        <v>-0.98000000000000043</v>
      </c>
      <c r="M11" s="31">
        <f t="shared" si="1"/>
        <v>-0.52000000000000046</v>
      </c>
    </row>
    <row r="12" spans="2:13" ht="15.75">
      <c r="B12" s="111"/>
      <c r="C12" s="113"/>
      <c r="D12" s="113"/>
      <c r="E12" s="113"/>
      <c r="F12" s="6">
        <v>3</v>
      </c>
      <c r="G12" s="29" t="s">
        <v>60</v>
      </c>
      <c r="H12" s="73">
        <v>6.07</v>
      </c>
      <c r="I12" s="73" t="s">
        <v>155</v>
      </c>
      <c r="J12" s="50">
        <v>5.98</v>
      </c>
      <c r="K12" s="31">
        <v>6.22</v>
      </c>
      <c r="L12" s="31">
        <f t="shared" si="0"/>
        <v>-8.9999999999999858E-2</v>
      </c>
      <c r="M12" s="31">
        <f t="shared" si="1"/>
        <v>0.14999999999999947</v>
      </c>
    </row>
    <row r="13" spans="2:13" ht="15.75">
      <c r="B13" s="111"/>
      <c r="C13" s="113"/>
      <c r="D13" s="113"/>
      <c r="E13" s="113"/>
      <c r="F13" s="6">
        <v>4</v>
      </c>
      <c r="G13" s="29" t="s">
        <v>61</v>
      </c>
      <c r="H13" s="46">
        <v>4.37</v>
      </c>
      <c r="I13" s="46" t="s">
        <v>157</v>
      </c>
      <c r="J13" s="31">
        <v>4.76</v>
      </c>
      <c r="K13" s="31">
        <v>5.64</v>
      </c>
      <c r="L13" s="31">
        <f t="shared" si="0"/>
        <v>0.38999999999999968</v>
      </c>
      <c r="M13" s="44">
        <f t="shared" si="1"/>
        <v>1.2699999999999996</v>
      </c>
    </row>
    <row r="14" spans="2:13" ht="15.75">
      <c r="B14" s="111"/>
      <c r="C14" s="113"/>
      <c r="D14" s="113"/>
      <c r="E14" s="113"/>
      <c r="F14" s="6">
        <v>5</v>
      </c>
      <c r="G14" s="29" t="s">
        <v>62</v>
      </c>
      <c r="H14" s="46">
        <v>4.3899999999999997</v>
      </c>
      <c r="I14" s="46" t="s">
        <v>157</v>
      </c>
      <c r="J14" s="31">
        <v>5.68</v>
      </c>
      <c r="K14" s="31">
        <v>5.54</v>
      </c>
      <c r="L14" s="44">
        <f t="shared" si="0"/>
        <v>1.29</v>
      </c>
      <c r="M14" s="44">
        <f t="shared" si="1"/>
        <v>1.1500000000000004</v>
      </c>
    </row>
    <row r="15" spans="2:13" ht="15.75">
      <c r="B15" s="111">
        <v>32</v>
      </c>
      <c r="C15" s="113" t="s">
        <v>188</v>
      </c>
      <c r="D15" s="113" t="s">
        <v>189</v>
      </c>
      <c r="E15" s="113" t="s">
        <v>190</v>
      </c>
      <c r="F15" s="6">
        <v>1</v>
      </c>
      <c r="G15" s="29" t="s">
        <v>63</v>
      </c>
      <c r="H15" s="46">
        <v>6.37</v>
      </c>
      <c r="I15" s="46" t="s">
        <v>155</v>
      </c>
      <c r="J15" s="31">
        <v>5.72</v>
      </c>
      <c r="K15" s="31">
        <v>6.06</v>
      </c>
      <c r="L15" s="31">
        <f t="shared" si="0"/>
        <v>-0.65000000000000036</v>
      </c>
      <c r="M15" s="31">
        <f t="shared" si="1"/>
        <v>-0.3100000000000005</v>
      </c>
    </row>
    <row r="16" spans="2:13" ht="15.75">
      <c r="B16" s="111"/>
      <c r="C16" s="113"/>
      <c r="D16" s="113"/>
      <c r="E16" s="113"/>
      <c r="F16" s="6">
        <v>2</v>
      </c>
      <c r="G16" s="29" t="s">
        <v>53</v>
      </c>
      <c r="H16" s="73">
        <v>6.17</v>
      </c>
      <c r="I16" s="73" t="s">
        <v>155</v>
      </c>
      <c r="J16" s="50">
        <v>5.24</v>
      </c>
      <c r="K16" s="31">
        <v>6.08</v>
      </c>
      <c r="L16" s="31">
        <f t="shared" si="0"/>
        <v>-0.92999999999999972</v>
      </c>
      <c r="M16" s="31">
        <f t="shared" si="1"/>
        <v>-8.9999999999999858E-2</v>
      </c>
    </row>
    <row r="17" spans="2:13" ht="15.75">
      <c r="B17" s="111"/>
      <c r="C17" s="113"/>
      <c r="D17" s="113"/>
      <c r="E17" s="113"/>
      <c r="F17" s="6">
        <v>3</v>
      </c>
      <c r="G17" s="29" t="s">
        <v>64</v>
      </c>
      <c r="H17" s="46">
        <v>5.08</v>
      </c>
      <c r="I17" s="46" t="s">
        <v>154</v>
      </c>
      <c r="J17" s="31">
        <v>5.54</v>
      </c>
      <c r="K17" s="31">
        <v>5.54</v>
      </c>
      <c r="L17" s="31">
        <f t="shared" si="0"/>
        <v>0.45999999999999996</v>
      </c>
      <c r="M17" s="31">
        <f t="shared" si="1"/>
        <v>0.45999999999999996</v>
      </c>
    </row>
    <row r="18" spans="2:13" ht="39" customHeight="1">
      <c r="B18" s="111"/>
      <c r="C18" s="113"/>
      <c r="D18" s="113"/>
      <c r="E18" s="113"/>
      <c r="F18" s="6">
        <v>4</v>
      </c>
      <c r="G18" s="30" t="s">
        <v>66</v>
      </c>
      <c r="H18" s="48">
        <v>4.87</v>
      </c>
      <c r="I18" s="46" t="s">
        <v>154</v>
      </c>
      <c r="J18" s="31">
        <v>5.46</v>
      </c>
      <c r="K18" s="45">
        <v>6.18</v>
      </c>
      <c r="L18" s="31">
        <f t="shared" si="0"/>
        <v>0.58999999999999986</v>
      </c>
      <c r="M18" s="44">
        <f t="shared" si="1"/>
        <v>1.3099999999999996</v>
      </c>
    </row>
    <row r="19" spans="2:13" ht="55.5" customHeight="1">
      <c r="B19" s="111"/>
      <c r="C19" s="113"/>
      <c r="D19" s="113"/>
      <c r="E19" s="113"/>
      <c r="F19" s="6">
        <v>5</v>
      </c>
      <c r="G19" s="30" t="s">
        <v>68</v>
      </c>
      <c r="H19" s="48">
        <v>4.8899999999999997</v>
      </c>
      <c r="I19" s="46" t="s">
        <v>154</v>
      </c>
      <c r="J19" s="31">
        <v>5.46</v>
      </c>
      <c r="K19" s="45">
        <v>6.24</v>
      </c>
      <c r="L19" s="31">
        <f t="shared" si="0"/>
        <v>0.57000000000000028</v>
      </c>
      <c r="M19" s="44">
        <f t="shared" si="1"/>
        <v>1.3500000000000005</v>
      </c>
    </row>
    <row r="20" spans="2:13" ht="15.75">
      <c r="B20" s="111">
        <v>36</v>
      </c>
      <c r="C20" s="113" t="s">
        <v>186</v>
      </c>
      <c r="D20" s="113" t="s">
        <v>191</v>
      </c>
      <c r="E20" s="113" t="s">
        <v>192</v>
      </c>
      <c r="F20" s="6">
        <v>1</v>
      </c>
      <c r="G20" s="29" t="s">
        <v>69</v>
      </c>
      <c r="H20" s="47">
        <v>4.78</v>
      </c>
      <c r="I20" s="46" t="s">
        <v>154</v>
      </c>
      <c r="J20" s="43">
        <v>5.6</v>
      </c>
      <c r="K20" s="44">
        <v>6.08</v>
      </c>
      <c r="L20" s="31">
        <f t="shared" si="0"/>
        <v>0.8199999999999994</v>
      </c>
      <c r="M20" s="31">
        <f t="shared" si="1"/>
        <v>1.2999999999999998</v>
      </c>
    </row>
    <row r="21" spans="2:13" ht="15.75">
      <c r="B21" s="111"/>
      <c r="C21" s="113"/>
      <c r="D21" s="113"/>
      <c r="E21" s="113"/>
      <c r="F21" s="6">
        <v>2</v>
      </c>
      <c r="G21" s="29" t="s">
        <v>53</v>
      </c>
      <c r="H21" s="46">
        <v>5.22</v>
      </c>
      <c r="I21" s="46" t="s">
        <v>154</v>
      </c>
      <c r="J21" s="31">
        <v>5.82</v>
      </c>
      <c r="K21" s="31">
        <v>5.78</v>
      </c>
      <c r="L21" s="31">
        <f t="shared" si="0"/>
        <v>0.60000000000000053</v>
      </c>
      <c r="M21" s="31">
        <f t="shared" si="1"/>
        <v>0.5600000000000005</v>
      </c>
    </row>
    <row r="22" spans="2:13" ht="15.75">
      <c r="B22" s="111"/>
      <c r="C22" s="113"/>
      <c r="D22" s="113"/>
      <c r="E22" s="113"/>
      <c r="F22" s="6">
        <v>3</v>
      </c>
      <c r="G22" s="29" t="s">
        <v>63</v>
      </c>
      <c r="H22" s="47">
        <v>4.29</v>
      </c>
      <c r="I22" s="46" t="s">
        <v>157</v>
      </c>
      <c r="J22" s="43">
        <v>5.82</v>
      </c>
      <c r="K22" s="44">
        <v>6.12</v>
      </c>
      <c r="L22" s="44">
        <f t="shared" si="0"/>
        <v>1.5300000000000002</v>
      </c>
      <c r="M22" s="44">
        <f t="shared" si="1"/>
        <v>1.83</v>
      </c>
    </row>
    <row r="23" spans="2:13" ht="15.75">
      <c r="B23" s="111"/>
      <c r="C23" s="113"/>
      <c r="D23" s="113"/>
      <c r="E23" s="113"/>
      <c r="F23" s="6">
        <v>4</v>
      </c>
      <c r="G23" s="29" t="s">
        <v>70</v>
      </c>
      <c r="H23" s="47">
        <v>4.62</v>
      </c>
      <c r="I23" s="46" t="s">
        <v>154</v>
      </c>
      <c r="J23" s="43">
        <v>5.7</v>
      </c>
      <c r="K23" s="44">
        <v>6.04</v>
      </c>
      <c r="L23" s="44">
        <f t="shared" si="0"/>
        <v>1.08</v>
      </c>
      <c r="M23" s="31">
        <f t="shared" si="1"/>
        <v>1.42</v>
      </c>
    </row>
    <row r="24" spans="2:13" ht="36" customHeight="1">
      <c r="B24" s="111"/>
      <c r="C24" s="113"/>
      <c r="D24" s="113"/>
      <c r="E24" s="113"/>
      <c r="F24" s="6">
        <v>5</v>
      </c>
      <c r="G24" s="30" t="s">
        <v>71</v>
      </c>
      <c r="H24" s="46">
        <v>6.18</v>
      </c>
      <c r="I24" s="46" t="s">
        <v>155</v>
      </c>
      <c r="J24" s="31">
        <v>5.9</v>
      </c>
      <c r="K24" s="31">
        <v>5.8</v>
      </c>
      <c r="L24" s="31">
        <f t="shared" si="0"/>
        <v>-0.27999999999999936</v>
      </c>
      <c r="M24" s="50">
        <f t="shared" si="1"/>
        <v>-0.37999999999999989</v>
      </c>
    </row>
    <row r="25" spans="2:13" ht="15.75">
      <c r="B25" s="111">
        <v>37</v>
      </c>
      <c r="C25" s="113" t="s">
        <v>193</v>
      </c>
      <c r="D25" s="113" t="s">
        <v>194</v>
      </c>
      <c r="E25" s="113" t="s">
        <v>192</v>
      </c>
      <c r="F25" s="6">
        <v>1</v>
      </c>
      <c r="G25" s="29" t="s">
        <v>53</v>
      </c>
      <c r="H25" s="46">
        <v>5.39</v>
      </c>
      <c r="I25" s="46" t="s">
        <v>154</v>
      </c>
      <c r="J25" s="31">
        <v>5.84</v>
      </c>
      <c r="K25" s="31">
        <v>6.32</v>
      </c>
      <c r="L25" s="31">
        <f t="shared" si="0"/>
        <v>0.45000000000000018</v>
      </c>
      <c r="M25" s="31">
        <f t="shared" si="1"/>
        <v>0.9300000000000006</v>
      </c>
    </row>
    <row r="26" spans="2:13" ht="15.75">
      <c r="B26" s="111"/>
      <c r="C26" s="113"/>
      <c r="D26" s="113"/>
      <c r="E26" s="113"/>
      <c r="F26" s="6">
        <v>2</v>
      </c>
      <c r="G26" s="29" t="s">
        <v>63</v>
      </c>
      <c r="H26" s="46">
        <v>5.17</v>
      </c>
      <c r="I26" s="46" t="s">
        <v>154</v>
      </c>
      <c r="J26" s="31">
        <v>5.98</v>
      </c>
      <c r="K26" s="31">
        <v>6.82</v>
      </c>
      <c r="L26" s="31">
        <f t="shared" si="0"/>
        <v>0.8100000000000005</v>
      </c>
      <c r="M26" s="44">
        <f t="shared" si="1"/>
        <v>1.6500000000000004</v>
      </c>
    </row>
    <row r="27" spans="2:13" ht="15.75">
      <c r="B27" s="111"/>
      <c r="C27" s="113"/>
      <c r="D27" s="113"/>
      <c r="E27" s="113"/>
      <c r="F27" s="6">
        <v>3</v>
      </c>
      <c r="G27" s="29" t="s">
        <v>55</v>
      </c>
      <c r="H27" s="46">
        <v>5.56</v>
      </c>
      <c r="I27" s="46" t="s">
        <v>155</v>
      </c>
      <c r="J27" s="31">
        <v>5.94</v>
      </c>
      <c r="K27" s="31">
        <v>6</v>
      </c>
      <c r="L27" s="31">
        <f t="shared" si="0"/>
        <v>0.38000000000000078</v>
      </c>
      <c r="M27" s="31">
        <f t="shared" si="1"/>
        <v>0.44000000000000039</v>
      </c>
    </row>
    <row r="28" spans="2:13" ht="15.75">
      <c r="B28" s="111"/>
      <c r="C28" s="113"/>
      <c r="D28" s="113"/>
      <c r="E28" s="113"/>
      <c r="F28" s="6">
        <v>4</v>
      </c>
      <c r="G28" s="29" t="s">
        <v>73</v>
      </c>
      <c r="H28" s="46">
        <v>6.06</v>
      </c>
      <c r="I28" s="46" t="s">
        <v>155</v>
      </c>
      <c r="J28" s="31">
        <v>5.7</v>
      </c>
      <c r="K28" s="31">
        <v>6.66</v>
      </c>
      <c r="L28" s="31">
        <f t="shared" si="0"/>
        <v>-0.35999999999999943</v>
      </c>
      <c r="M28" s="31">
        <f t="shared" si="1"/>
        <v>0.60000000000000053</v>
      </c>
    </row>
    <row r="29" spans="2:13" ht="18" customHeight="1">
      <c r="B29" s="111"/>
      <c r="C29" s="113"/>
      <c r="D29" s="113"/>
      <c r="E29" s="113"/>
      <c r="F29" s="6">
        <v>5</v>
      </c>
      <c r="G29" s="29" t="s">
        <v>64</v>
      </c>
      <c r="H29" s="46">
        <v>5.64</v>
      </c>
      <c r="I29" s="46" t="s">
        <v>155</v>
      </c>
      <c r="J29" s="31">
        <v>5.28</v>
      </c>
      <c r="K29" s="31">
        <v>5.58</v>
      </c>
      <c r="L29" s="31">
        <f t="shared" si="0"/>
        <v>-0.35999999999999943</v>
      </c>
      <c r="M29" s="31">
        <f t="shared" si="1"/>
        <v>-5.9999999999999609E-2</v>
      </c>
    </row>
    <row r="30" spans="2:13" ht="15.75">
      <c r="B30" s="111">
        <v>38</v>
      </c>
      <c r="C30" s="113" t="s">
        <v>193</v>
      </c>
      <c r="D30" s="113" t="s">
        <v>194</v>
      </c>
      <c r="E30" s="113" t="s">
        <v>192</v>
      </c>
      <c r="F30" s="6">
        <v>1</v>
      </c>
      <c r="G30" s="29" t="s">
        <v>75</v>
      </c>
      <c r="H30" s="46">
        <v>5.56</v>
      </c>
      <c r="I30" s="46" t="s">
        <v>155</v>
      </c>
      <c r="J30" s="31">
        <v>5.12</v>
      </c>
      <c r="K30" s="31">
        <v>6.34</v>
      </c>
      <c r="L30" s="31">
        <f t="shared" si="0"/>
        <v>-0.4399999999999995</v>
      </c>
      <c r="M30" s="31">
        <f t="shared" si="1"/>
        <v>0.78000000000000025</v>
      </c>
    </row>
    <row r="31" spans="2:13" ht="15.75">
      <c r="B31" s="111"/>
      <c r="C31" s="113"/>
      <c r="D31" s="113"/>
      <c r="E31" s="113"/>
      <c r="F31" s="6">
        <v>2</v>
      </c>
      <c r="G31" s="29" t="s">
        <v>76</v>
      </c>
      <c r="H31" s="46">
        <v>5.81</v>
      </c>
      <c r="I31" s="46" t="s">
        <v>155</v>
      </c>
      <c r="J31" s="31">
        <v>6.06</v>
      </c>
      <c r="K31" s="31">
        <v>5.52</v>
      </c>
      <c r="L31" s="31">
        <f t="shared" si="0"/>
        <v>0.25</v>
      </c>
      <c r="M31" s="31">
        <f t="shared" si="1"/>
        <v>-0.29000000000000004</v>
      </c>
    </row>
    <row r="32" spans="2:13" ht="15.75">
      <c r="B32" s="111"/>
      <c r="C32" s="113"/>
      <c r="D32" s="113"/>
      <c r="E32" s="113"/>
      <c r="F32" s="6">
        <v>3</v>
      </c>
      <c r="G32" s="29" t="s">
        <v>63</v>
      </c>
      <c r="H32" s="46">
        <v>6.18</v>
      </c>
      <c r="I32" s="46" t="s">
        <v>155</v>
      </c>
      <c r="J32" s="31">
        <v>6.1</v>
      </c>
      <c r="K32" s="31">
        <v>6.08</v>
      </c>
      <c r="L32" s="31">
        <f t="shared" si="0"/>
        <v>-8.0000000000000071E-2</v>
      </c>
      <c r="M32" s="31">
        <f t="shared" si="1"/>
        <v>-9.9999999999999645E-2</v>
      </c>
    </row>
    <row r="33" spans="2:13" ht="15.75">
      <c r="B33" s="111"/>
      <c r="C33" s="113"/>
      <c r="D33" s="113"/>
      <c r="E33" s="113"/>
      <c r="F33" s="6">
        <v>4</v>
      </c>
      <c r="G33" s="29" t="s">
        <v>64</v>
      </c>
      <c r="H33" s="46">
        <v>6.58</v>
      </c>
      <c r="I33" s="46" t="s">
        <v>155</v>
      </c>
      <c r="J33" s="31">
        <v>6.18</v>
      </c>
      <c r="K33" s="31">
        <v>6.14</v>
      </c>
      <c r="L33" s="31">
        <f t="shared" si="0"/>
        <v>-0.40000000000000036</v>
      </c>
      <c r="M33" s="31">
        <f t="shared" si="1"/>
        <v>-0.44000000000000039</v>
      </c>
    </row>
    <row r="34" spans="2:13" ht="36" customHeight="1">
      <c r="B34" s="111"/>
      <c r="C34" s="113"/>
      <c r="D34" s="113"/>
      <c r="E34" s="113"/>
      <c r="F34" s="6">
        <v>5</v>
      </c>
      <c r="G34" s="30" t="s">
        <v>77</v>
      </c>
      <c r="H34" s="46">
        <v>6.12</v>
      </c>
      <c r="I34" s="46" t="s">
        <v>155</v>
      </c>
      <c r="J34" s="31">
        <v>6.06</v>
      </c>
      <c r="K34" s="31">
        <v>5.9</v>
      </c>
      <c r="L34" s="31">
        <f t="shared" si="0"/>
        <v>-6.0000000000000497E-2</v>
      </c>
      <c r="M34" s="31">
        <f t="shared" si="1"/>
        <v>-0.21999999999999975</v>
      </c>
    </row>
    <row r="35" spans="2:13" ht="15.75">
      <c r="B35" s="111">
        <v>41</v>
      </c>
      <c r="C35" s="113" t="s">
        <v>186</v>
      </c>
      <c r="D35" s="113" t="s">
        <v>194</v>
      </c>
      <c r="E35" s="113" t="s">
        <v>192</v>
      </c>
      <c r="F35" s="6">
        <v>1</v>
      </c>
      <c r="G35" s="29" t="s">
        <v>78</v>
      </c>
      <c r="H35" s="46">
        <v>4.78</v>
      </c>
      <c r="I35" s="46" t="s">
        <v>154</v>
      </c>
      <c r="J35" s="31">
        <v>5.56</v>
      </c>
      <c r="K35" s="31">
        <v>5.48</v>
      </c>
      <c r="L35" s="31">
        <f t="shared" si="0"/>
        <v>0.77999999999999936</v>
      </c>
      <c r="M35" s="31">
        <f t="shared" si="1"/>
        <v>0.70000000000000018</v>
      </c>
    </row>
    <row r="36" spans="2:13" ht="15.75">
      <c r="B36" s="111"/>
      <c r="C36" s="113"/>
      <c r="D36" s="113"/>
      <c r="E36" s="113"/>
      <c r="F36" s="6">
        <v>2</v>
      </c>
      <c r="G36" s="29" t="s">
        <v>53</v>
      </c>
      <c r="H36" s="46">
        <v>6.23</v>
      </c>
      <c r="I36" s="46" t="s">
        <v>155</v>
      </c>
      <c r="J36" s="31">
        <v>5.72</v>
      </c>
      <c r="K36" s="31">
        <v>5.6</v>
      </c>
      <c r="L36" s="31">
        <f t="shared" si="0"/>
        <v>-0.51000000000000068</v>
      </c>
      <c r="M36" s="31">
        <f t="shared" si="1"/>
        <v>-0.63000000000000078</v>
      </c>
    </row>
    <row r="37" spans="2:13" ht="15.75">
      <c r="B37" s="111"/>
      <c r="C37" s="113"/>
      <c r="D37" s="113"/>
      <c r="E37" s="113"/>
      <c r="F37" s="6">
        <v>3</v>
      </c>
      <c r="G37" s="29" t="s">
        <v>79</v>
      </c>
      <c r="H37" s="46">
        <v>5.64</v>
      </c>
      <c r="I37" s="46" t="s">
        <v>155</v>
      </c>
      <c r="J37" s="31">
        <v>6.14</v>
      </c>
      <c r="K37" s="31">
        <v>5.6</v>
      </c>
      <c r="L37" s="31">
        <f t="shared" si="0"/>
        <v>0.5</v>
      </c>
      <c r="M37" s="31">
        <f t="shared" si="1"/>
        <v>-4.0000000000000036E-2</v>
      </c>
    </row>
    <row r="38" spans="2:13" ht="15.75">
      <c r="B38" s="111"/>
      <c r="C38" s="113"/>
      <c r="D38" s="113"/>
      <c r="E38" s="113"/>
      <c r="F38" s="6">
        <v>4</v>
      </c>
      <c r="G38" s="29" t="s">
        <v>80</v>
      </c>
      <c r="H38" s="46">
        <v>6.61</v>
      </c>
      <c r="I38" s="46" t="s">
        <v>156</v>
      </c>
      <c r="J38" s="31">
        <v>5.8</v>
      </c>
      <c r="K38" s="31">
        <v>6.28</v>
      </c>
      <c r="L38" s="31">
        <f t="shared" si="0"/>
        <v>-0.8100000000000005</v>
      </c>
      <c r="M38" s="31">
        <f t="shared" si="1"/>
        <v>-0.33000000000000007</v>
      </c>
    </row>
    <row r="39" spans="2:13" ht="15.75">
      <c r="B39" s="111"/>
      <c r="C39" s="113"/>
      <c r="D39" s="113"/>
      <c r="E39" s="113"/>
      <c r="F39" s="6">
        <v>5</v>
      </c>
      <c r="G39" s="29" t="s">
        <v>81</v>
      </c>
      <c r="H39" s="46">
        <v>6.78</v>
      </c>
      <c r="I39" s="46" t="s">
        <v>156</v>
      </c>
      <c r="J39" s="31">
        <v>5.68</v>
      </c>
      <c r="K39" s="31">
        <v>6.48</v>
      </c>
      <c r="L39" s="44">
        <f>J39-H39</f>
        <v>-1.1000000000000005</v>
      </c>
      <c r="M39" s="31">
        <f t="shared" si="1"/>
        <v>-0.29999999999999982</v>
      </c>
    </row>
    <row r="41" spans="2:13">
      <c r="E41" t="s">
        <v>111</v>
      </c>
    </row>
    <row r="42" spans="2:13">
      <c r="E42" t="s">
        <v>114</v>
      </c>
    </row>
    <row r="43" spans="2:13">
      <c r="E43" t="s">
        <v>113</v>
      </c>
    </row>
  </sheetData>
  <mergeCells count="40">
    <mergeCell ref="B2:M2"/>
    <mergeCell ref="B30:B34"/>
    <mergeCell ref="C30:C34"/>
    <mergeCell ref="D30:D34"/>
    <mergeCell ref="B35:B39"/>
    <mergeCell ref="C35:C39"/>
    <mergeCell ref="D35:D39"/>
    <mergeCell ref="B20:B24"/>
    <mergeCell ref="C20:C24"/>
    <mergeCell ref="D20:D24"/>
    <mergeCell ref="B25:B29"/>
    <mergeCell ref="C25:C29"/>
    <mergeCell ref="D25:D29"/>
    <mergeCell ref="B10:B14"/>
    <mergeCell ref="C10:C14"/>
    <mergeCell ref="D10:D14"/>
    <mergeCell ref="B15:B19"/>
    <mergeCell ref="C15:C19"/>
    <mergeCell ref="D15:D19"/>
    <mergeCell ref="B3:B4"/>
    <mergeCell ref="C3:C4"/>
    <mergeCell ref="D3:D4"/>
    <mergeCell ref="B5:B9"/>
    <mergeCell ref="C5:C9"/>
    <mergeCell ref="D5:D9"/>
    <mergeCell ref="E30:E34"/>
    <mergeCell ref="E35:E39"/>
    <mergeCell ref="E5:E9"/>
    <mergeCell ref="E10:E14"/>
    <mergeCell ref="E15:E19"/>
    <mergeCell ref="E20:E24"/>
    <mergeCell ref="E25:E29"/>
    <mergeCell ref="L3:M3"/>
    <mergeCell ref="H3:H4"/>
    <mergeCell ref="J3:J4"/>
    <mergeCell ref="K3:K4"/>
    <mergeCell ref="E3:E4"/>
    <mergeCell ref="F3:F4"/>
    <mergeCell ref="G3:G4"/>
    <mergeCell ref="I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D428-D65A-44E3-A3FB-97E98DD5CEA7}">
  <sheetPr codeName="Lembar6"/>
  <dimension ref="B4:Y44"/>
  <sheetViews>
    <sheetView tabSelected="1" workbookViewId="0">
      <selection activeCell="F13" sqref="F13"/>
    </sheetView>
  </sheetViews>
  <sheetFormatPr defaultRowHeight="14.25"/>
  <cols>
    <col min="2" max="2" width="5" style="28" customWidth="1"/>
    <col min="3" max="3" width="10.75" style="57" customWidth="1"/>
    <col min="4" max="4" width="13.125" style="57" customWidth="1"/>
    <col min="5" max="5" width="9.5" style="151" customWidth="1"/>
    <col min="6" max="6" width="8.875" customWidth="1"/>
    <col min="7" max="7" width="20.375" customWidth="1"/>
    <col min="8" max="9" width="10" customWidth="1"/>
    <col min="10" max="10" width="17.375" customWidth="1"/>
    <col min="11" max="12" width="13.25" customWidth="1"/>
    <col min="13" max="14" width="11.375" customWidth="1"/>
    <col min="15" max="15" width="11.125" customWidth="1"/>
    <col min="16" max="16" width="10.5" customWidth="1"/>
  </cols>
  <sheetData>
    <row r="4" spans="2:25" ht="15.75">
      <c r="B4" s="132" t="s">
        <v>96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</row>
    <row r="5" spans="2:25" ht="25.5" customHeight="1">
      <c r="B5" s="125" t="s">
        <v>182</v>
      </c>
      <c r="C5" s="125" t="s">
        <v>181</v>
      </c>
      <c r="D5" s="125" t="s">
        <v>180</v>
      </c>
      <c r="E5" s="133" t="s">
        <v>179</v>
      </c>
      <c r="F5" s="134" t="s">
        <v>195</v>
      </c>
      <c r="G5" s="132" t="s">
        <v>51</v>
      </c>
      <c r="H5" s="141"/>
      <c r="I5" s="142"/>
      <c r="J5" s="143" t="s">
        <v>177</v>
      </c>
      <c r="K5" s="134" t="s">
        <v>100</v>
      </c>
      <c r="L5" s="134" t="s">
        <v>101</v>
      </c>
      <c r="M5" s="133" t="s">
        <v>95</v>
      </c>
      <c r="N5" s="133"/>
      <c r="O5" s="133" t="s">
        <v>95</v>
      </c>
      <c r="P5" s="133"/>
      <c r="Q5" s="149" t="s">
        <v>178</v>
      </c>
      <c r="R5" s="150"/>
      <c r="S5" s="150"/>
      <c r="T5" s="150"/>
      <c r="U5" s="150"/>
      <c r="V5" s="150"/>
      <c r="W5" s="150"/>
      <c r="X5" s="150"/>
      <c r="Y5" s="150"/>
    </row>
    <row r="6" spans="2:25" ht="41.25" customHeight="1">
      <c r="B6" s="125"/>
      <c r="C6" s="125"/>
      <c r="D6" s="125"/>
      <c r="E6" s="133"/>
      <c r="F6" s="134"/>
      <c r="G6" s="132"/>
      <c r="H6" s="145" t="s">
        <v>175</v>
      </c>
      <c r="I6" s="145" t="s">
        <v>176</v>
      </c>
      <c r="J6" s="144"/>
      <c r="K6" s="134"/>
      <c r="L6" s="134"/>
      <c r="M6" s="137" t="s">
        <v>107</v>
      </c>
      <c r="N6" s="137" t="s">
        <v>109</v>
      </c>
      <c r="O6" s="137" t="s">
        <v>110</v>
      </c>
      <c r="P6" s="137" t="s">
        <v>108</v>
      </c>
      <c r="Q6" s="145" t="s">
        <v>173</v>
      </c>
      <c r="R6" s="145" t="s">
        <v>174</v>
      </c>
    </row>
    <row r="7" spans="2:25" ht="15.75">
      <c r="B7" s="111">
        <v>1</v>
      </c>
      <c r="C7" s="113" t="s">
        <v>183</v>
      </c>
      <c r="D7" s="113" t="s">
        <v>184</v>
      </c>
      <c r="E7" s="113" t="s">
        <v>185</v>
      </c>
      <c r="F7" s="6">
        <v>1</v>
      </c>
      <c r="G7" s="29" t="s">
        <v>53</v>
      </c>
      <c r="H7" s="56">
        <v>68.040310822424317</v>
      </c>
      <c r="I7" s="56">
        <v>40.836996262616189</v>
      </c>
      <c r="J7" s="31" t="s">
        <v>158</v>
      </c>
      <c r="K7" s="50">
        <v>11.6</v>
      </c>
      <c r="L7" s="50">
        <v>40.799999999999997</v>
      </c>
      <c r="M7" s="146">
        <f>K7-H7</f>
        <v>-56.440310822424316</v>
      </c>
      <c r="N7" s="147">
        <f>L7-H7</f>
        <v>-27.24031082242432</v>
      </c>
      <c r="O7" s="146">
        <f>K7-I7</f>
        <v>-29.236996262616188</v>
      </c>
      <c r="P7" s="147">
        <f>L7-I7</f>
        <v>-3.6996262616192155E-2</v>
      </c>
      <c r="Q7" s="56">
        <v>87.613070850404739</v>
      </c>
      <c r="R7" s="56">
        <v>180.6946737283902</v>
      </c>
    </row>
    <row r="8" spans="2:25" ht="15.75">
      <c r="B8" s="111"/>
      <c r="C8" s="113"/>
      <c r="D8" s="113"/>
      <c r="E8" s="113"/>
      <c r="F8" s="6">
        <v>2</v>
      </c>
      <c r="G8" s="29" t="s">
        <v>54</v>
      </c>
      <c r="H8" s="56">
        <v>13.613503756872928</v>
      </c>
      <c r="I8" s="56">
        <v>6.8088876936918883</v>
      </c>
      <c r="J8" s="31" t="s">
        <v>159</v>
      </c>
      <c r="K8" s="50">
        <v>17.600000000000001</v>
      </c>
      <c r="L8" s="50">
        <v>18.600000000000001</v>
      </c>
      <c r="M8" s="146">
        <f t="shared" ref="M8:M41" si="0">K8-H8</f>
        <v>3.986496243127073</v>
      </c>
      <c r="N8" s="147">
        <f t="shared" ref="N8:N41" si="1">L8-H8</f>
        <v>4.986496243127073</v>
      </c>
      <c r="O8" s="146">
        <f t="shared" ref="O8:O41" si="2">K8-I8</f>
        <v>10.791112306308113</v>
      </c>
      <c r="P8" s="147">
        <f t="shared" ref="P8:P41" si="3">L8-I8</f>
        <v>11.791112306308113</v>
      </c>
      <c r="Q8" s="56">
        <v>17.52962111366589</v>
      </c>
      <c r="R8" s="56">
        <v>30.127821653503929</v>
      </c>
    </row>
    <row r="9" spans="2:25" ht="15.75">
      <c r="B9" s="111"/>
      <c r="C9" s="113"/>
      <c r="D9" s="113"/>
      <c r="E9" s="113"/>
      <c r="F9" s="6">
        <v>3</v>
      </c>
      <c r="G9" s="29" t="s">
        <v>55</v>
      </c>
      <c r="H9" s="56">
        <v>40.828266464121505</v>
      </c>
      <c r="I9" s="56">
        <v>47.647923765740501</v>
      </c>
      <c r="J9" s="31" t="s">
        <v>158</v>
      </c>
      <c r="K9" s="50">
        <v>17.600000000000001</v>
      </c>
      <c r="L9" s="50">
        <v>47</v>
      </c>
      <c r="M9" s="146">
        <f t="shared" si="0"/>
        <v>-23.228266464121504</v>
      </c>
      <c r="N9" s="147">
        <f t="shared" si="1"/>
        <v>6.171733535878495</v>
      </c>
      <c r="O9" s="146">
        <f t="shared" si="2"/>
        <v>-30.047923765740499</v>
      </c>
      <c r="P9" s="147">
        <f t="shared" si="3"/>
        <v>-0.64792376574050081</v>
      </c>
      <c r="Q9" s="56">
        <v>52.57309614231459</v>
      </c>
      <c r="R9" s="56">
        <v>210.83152108734734</v>
      </c>
    </row>
    <row r="10" spans="2:25" ht="15.75">
      <c r="B10" s="111"/>
      <c r="C10" s="113"/>
      <c r="D10" s="113"/>
      <c r="E10" s="113"/>
      <c r="F10" s="6">
        <v>4</v>
      </c>
      <c r="G10" s="29" t="s">
        <v>56</v>
      </c>
      <c r="H10" s="56">
        <v>27.218844309414351</v>
      </c>
      <c r="I10" s="56">
        <v>34.034231261243242</v>
      </c>
      <c r="J10" s="31" t="s">
        <v>158</v>
      </c>
      <c r="K10" s="50">
        <v>14.4</v>
      </c>
      <c r="L10" s="50">
        <v>95.8</v>
      </c>
      <c r="M10" s="146">
        <f t="shared" si="0"/>
        <v>-12.81884430941435</v>
      </c>
      <c r="N10" s="147">
        <f t="shared" si="1"/>
        <v>68.581155690585646</v>
      </c>
      <c r="O10" s="146">
        <f t="shared" si="2"/>
        <v>-19.634231261243244</v>
      </c>
      <c r="P10" s="147">
        <f t="shared" si="3"/>
        <v>61.765768738756755</v>
      </c>
      <c r="Q10" s="56">
        <v>35.048730761543077</v>
      </c>
      <c r="R10" s="56">
        <v>150.59394363381966</v>
      </c>
    </row>
    <row r="11" spans="2:25" ht="15.75">
      <c r="B11" s="111"/>
      <c r="C11" s="113"/>
      <c r="D11" s="113"/>
      <c r="E11" s="113"/>
      <c r="F11" s="6">
        <v>5</v>
      </c>
      <c r="G11" s="29" t="s">
        <v>57</v>
      </c>
      <c r="H11" s="56">
        <v>40.836428852459001</v>
      </c>
      <c r="I11" s="56">
        <v>47.657449540183912</v>
      </c>
      <c r="J11" s="31" t="s">
        <v>158</v>
      </c>
      <c r="K11" s="50">
        <v>15</v>
      </c>
      <c r="L11" s="50">
        <v>12.8</v>
      </c>
      <c r="M11" s="146">
        <f t="shared" si="0"/>
        <v>-25.836428852459001</v>
      </c>
      <c r="N11" s="147">
        <f t="shared" si="1"/>
        <v>-28.036428852459</v>
      </c>
      <c r="O11" s="146">
        <f t="shared" si="2"/>
        <v>-32.657449540183912</v>
      </c>
      <c r="P11" s="147">
        <f t="shared" si="3"/>
        <v>-34.857449540183907</v>
      </c>
      <c r="Q11" s="56">
        <v>52.583606557377031</v>
      </c>
      <c r="R11" s="56">
        <v>210.87367053178721</v>
      </c>
    </row>
    <row r="12" spans="2:25" ht="15.75">
      <c r="B12" s="111">
        <v>7</v>
      </c>
      <c r="C12" s="113" t="s">
        <v>186</v>
      </c>
      <c r="D12" s="113" t="s">
        <v>187</v>
      </c>
      <c r="E12" s="113" t="s">
        <v>185</v>
      </c>
      <c r="F12" s="6">
        <v>1</v>
      </c>
      <c r="G12" s="29" t="s">
        <v>58</v>
      </c>
      <c r="H12" s="56">
        <v>13.612142950819671</v>
      </c>
      <c r="I12" s="56">
        <v>6.8082070771691345</v>
      </c>
      <c r="J12" s="31" t="s">
        <v>159</v>
      </c>
      <c r="K12" s="50">
        <v>45.4</v>
      </c>
      <c r="L12" s="50">
        <v>143.6</v>
      </c>
      <c r="M12" s="146">
        <f t="shared" si="0"/>
        <v>31.787857049180328</v>
      </c>
      <c r="N12" s="147">
        <f t="shared" si="1"/>
        <v>129.98785704918032</v>
      </c>
      <c r="O12" s="146">
        <f t="shared" si="2"/>
        <v>38.591792922830862</v>
      </c>
      <c r="P12" s="147">
        <f t="shared" si="3"/>
        <v>136.79179292283087</v>
      </c>
      <c r="Q12" s="56">
        <v>17.527868852459015</v>
      </c>
      <c r="R12" s="56">
        <v>30.12481007596962</v>
      </c>
    </row>
    <row r="13" spans="2:25" ht="15.75">
      <c r="B13" s="111"/>
      <c r="C13" s="113"/>
      <c r="D13" s="113"/>
      <c r="E13" s="113"/>
      <c r="F13" s="6">
        <v>2</v>
      </c>
      <c r="G13" s="29" t="s">
        <v>59</v>
      </c>
      <c r="H13" s="56">
        <v>27.210685998601257</v>
      </c>
      <c r="I13" s="56">
        <v>6.804806034568891</v>
      </c>
      <c r="J13" s="31" t="s">
        <v>159</v>
      </c>
      <c r="K13" s="50">
        <v>22.2</v>
      </c>
      <c r="L13" s="50">
        <v>67</v>
      </c>
      <c r="M13" s="146">
        <f t="shared" si="0"/>
        <v>-5.0106859986012573</v>
      </c>
      <c r="N13" s="147">
        <f t="shared" si="1"/>
        <v>39.789314001398743</v>
      </c>
      <c r="O13" s="146">
        <f t="shared" si="2"/>
        <v>15.395193965431108</v>
      </c>
      <c r="P13" s="147">
        <f t="shared" si="3"/>
        <v>60.195193965431109</v>
      </c>
      <c r="Q13" s="56">
        <v>35.038225596962732</v>
      </c>
      <c r="R13" s="56">
        <v>30.109761214906595</v>
      </c>
    </row>
    <row r="14" spans="2:25" ht="15.75">
      <c r="B14" s="111"/>
      <c r="C14" s="113"/>
      <c r="D14" s="113"/>
      <c r="E14" s="113"/>
      <c r="F14" s="6">
        <v>3</v>
      </c>
      <c r="G14" s="29" t="s">
        <v>60</v>
      </c>
      <c r="H14" s="56">
        <v>6.8067518784364562</v>
      </c>
      <c r="I14" s="56">
        <v>6.8088876936918883</v>
      </c>
      <c r="J14" s="31" t="s">
        <v>159</v>
      </c>
      <c r="K14" s="50">
        <v>33.200000000000003</v>
      </c>
      <c r="L14" s="50">
        <v>87.6</v>
      </c>
      <c r="M14" s="146">
        <f t="shared" si="0"/>
        <v>26.393248121563545</v>
      </c>
      <c r="N14" s="147">
        <f t="shared" si="1"/>
        <v>80.793248121563536</v>
      </c>
      <c r="O14" s="146">
        <f t="shared" si="2"/>
        <v>26.391112306308116</v>
      </c>
      <c r="P14" s="147">
        <f t="shared" si="3"/>
        <v>80.791112306308108</v>
      </c>
      <c r="Q14" s="56">
        <v>8.7648105568329342</v>
      </c>
      <c r="R14" s="56">
        <v>30.127821653503929</v>
      </c>
    </row>
    <row r="15" spans="2:25" ht="15.75">
      <c r="B15" s="111"/>
      <c r="C15" s="113"/>
      <c r="D15" s="113"/>
      <c r="E15" s="113"/>
      <c r="F15" s="6">
        <v>4</v>
      </c>
      <c r="G15" s="29" t="s">
        <v>61</v>
      </c>
      <c r="H15" s="56">
        <v>27.227007513745875</v>
      </c>
      <c r="I15" s="56">
        <v>20.42666308107567</v>
      </c>
      <c r="J15" s="31" t="s">
        <v>160</v>
      </c>
      <c r="K15" s="50">
        <v>2.4</v>
      </c>
      <c r="L15" s="50">
        <v>0</v>
      </c>
      <c r="M15" s="146">
        <f t="shared" si="0"/>
        <v>-24.827007513745876</v>
      </c>
      <c r="N15" s="147">
        <f t="shared" si="1"/>
        <v>-27.227007513745875</v>
      </c>
      <c r="O15" s="146">
        <f t="shared" si="2"/>
        <v>-18.026663081075672</v>
      </c>
      <c r="P15" s="147">
        <f t="shared" si="3"/>
        <v>-20.42666308107567</v>
      </c>
      <c r="Q15" s="56">
        <v>35.059242227331801</v>
      </c>
      <c r="R15" s="56">
        <v>90.383464960511816</v>
      </c>
    </row>
    <row r="16" spans="2:25" ht="15.75">
      <c r="B16" s="111"/>
      <c r="C16" s="113"/>
      <c r="D16" s="113"/>
      <c r="E16" s="113"/>
      <c r="F16" s="6">
        <v>5</v>
      </c>
      <c r="G16" s="29" t="s">
        <v>62</v>
      </c>
      <c r="H16" s="56">
        <v>13.616226185381457</v>
      </c>
      <c r="I16" s="56">
        <v>20.430748005199487</v>
      </c>
      <c r="J16" s="31" t="s">
        <v>160</v>
      </c>
      <c r="K16" s="50">
        <v>5.8</v>
      </c>
      <c r="L16" s="50">
        <v>19.8</v>
      </c>
      <c r="M16" s="146">
        <f t="shared" si="0"/>
        <v>-7.8162261853814572</v>
      </c>
      <c r="N16" s="147">
        <f t="shared" si="1"/>
        <v>6.1837738146185437</v>
      </c>
      <c r="O16" s="146">
        <f t="shared" si="2"/>
        <v>-14.630748005199486</v>
      </c>
      <c r="P16" s="147">
        <f t="shared" si="3"/>
        <v>-0.63074800519948582</v>
      </c>
      <c r="Q16" s="56">
        <v>17.533126687331261</v>
      </c>
      <c r="R16" s="56">
        <v>90.401539846015424</v>
      </c>
    </row>
    <row r="17" spans="2:18" ht="15.75">
      <c r="B17" s="111">
        <v>32</v>
      </c>
      <c r="C17" s="113" t="s">
        <v>188</v>
      </c>
      <c r="D17" s="113" t="s">
        <v>189</v>
      </c>
      <c r="E17" s="113" t="s">
        <v>190</v>
      </c>
      <c r="F17" s="6">
        <v>1</v>
      </c>
      <c r="G17" s="29" t="s">
        <v>63</v>
      </c>
      <c r="H17" s="56">
        <v>13.609422154707181</v>
      </c>
      <c r="I17" s="56">
        <v>6.8068462522486151</v>
      </c>
      <c r="J17" s="31" t="s">
        <v>159</v>
      </c>
      <c r="K17" s="50">
        <v>14.6</v>
      </c>
      <c r="L17" s="50">
        <v>72.2</v>
      </c>
      <c r="M17" s="146">
        <f t="shared" si="0"/>
        <v>0.99057784529281889</v>
      </c>
      <c r="N17" s="147">
        <f t="shared" si="1"/>
        <v>58.59057784529282</v>
      </c>
      <c r="O17" s="146">
        <f t="shared" si="2"/>
        <v>7.7931537477513846</v>
      </c>
      <c r="P17" s="147">
        <f t="shared" si="3"/>
        <v>65.393153747751384</v>
      </c>
      <c r="Q17" s="56">
        <v>17.524365380771545</v>
      </c>
      <c r="R17" s="56">
        <v>30.118788726763782</v>
      </c>
    </row>
    <row r="18" spans="2:18" ht="15.75">
      <c r="B18" s="111"/>
      <c r="C18" s="113"/>
      <c r="D18" s="113"/>
      <c r="E18" s="113"/>
      <c r="F18" s="6">
        <v>2</v>
      </c>
      <c r="G18" s="29" t="s">
        <v>53</v>
      </c>
      <c r="H18" s="56">
        <v>13.609422154707199</v>
      </c>
      <c r="I18" s="56">
        <v>13.613692504497301</v>
      </c>
      <c r="J18" s="31"/>
      <c r="K18" s="50">
        <v>21.4</v>
      </c>
      <c r="L18" s="50">
        <v>78.599999999999994</v>
      </c>
      <c r="M18" s="146">
        <f t="shared" si="0"/>
        <v>7.7905778452928001</v>
      </c>
      <c r="N18" s="147">
        <f t="shared" si="1"/>
        <v>64.99057784529279</v>
      </c>
      <c r="O18" s="146">
        <f t="shared" si="2"/>
        <v>7.7863074955026974</v>
      </c>
      <c r="P18" s="147">
        <f t="shared" si="3"/>
        <v>64.9863074955027</v>
      </c>
      <c r="Q18" s="56">
        <v>17.524365380771567</v>
      </c>
      <c r="R18" s="56">
        <v>60.237577453527877</v>
      </c>
    </row>
    <row r="19" spans="2:18" ht="15.75">
      <c r="B19" s="111"/>
      <c r="C19" s="113"/>
      <c r="D19" s="113"/>
      <c r="E19" s="113"/>
      <c r="F19" s="6">
        <v>3</v>
      </c>
      <c r="G19" s="29" t="s">
        <v>64</v>
      </c>
      <c r="H19" s="56">
        <v>68.033512230215848</v>
      </c>
      <c r="I19" s="56">
        <v>40.832915827338148</v>
      </c>
      <c r="J19" s="31" t="s">
        <v>158</v>
      </c>
      <c r="K19" s="50">
        <v>6.4</v>
      </c>
      <c r="L19" s="50">
        <v>15.8</v>
      </c>
      <c r="M19" s="146">
        <f t="shared" si="0"/>
        <v>-61.63351223021585</v>
      </c>
      <c r="N19" s="147">
        <f t="shared" si="1"/>
        <v>-52.233512230215851</v>
      </c>
      <c r="O19" s="146">
        <f t="shared" si="2"/>
        <v>-34.432915827338149</v>
      </c>
      <c r="P19" s="147">
        <f t="shared" si="3"/>
        <v>-25.032915827338147</v>
      </c>
      <c r="Q19" s="56">
        <v>87.604316546762618</v>
      </c>
      <c r="R19" s="56">
        <v>180.67661870503605</v>
      </c>
    </row>
    <row r="20" spans="2:18" ht="31.5">
      <c r="B20" s="111"/>
      <c r="C20" s="113"/>
      <c r="D20" s="113"/>
      <c r="E20" s="113"/>
      <c r="F20" s="6">
        <v>4</v>
      </c>
      <c r="G20" s="30" t="s">
        <v>66</v>
      </c>
      <c r="H20" s="56">
        <v>27.218844309414351</v>
      </c>
      <c r="I20" s="56">
        <v>13.613692504497301</v>
      </c>
      <c r="J20" s="31" t="s">
        <v>161</v>
      </c>
      <c r="K20" s="50">
        <v>4.5999999999999996</v>
      </c>
      <c r="L20" s="50">
        <v>0</v>
      </c>
      <c r="M20" s="146">
        <f t="shared" si="0"/>
        <v>-22.618844309414349</v>
      </c>
      <c r="N20" s="147">
        <f t="shared" si="1"/>
        <v>-27.218844309414351</v>
      </c>
      <c r="O20" s="146">
        <f t="shared" si="2"/>
        <v>-9.0136925044973015</v>
      </c>
      <c r="P20" s="147">
        <f t="shared" si="3"/>
        <v>-13.613692504497301</v>
      </c>
      <c r="Q20" s="56">
        <v>35.048730761543077</v>
      </c>
      <c r="R20" s="56">
        <v>60.237577453527877</v>
      </c>
    </row>
    <row r="21" spans="2:18" ht="47.25">
      <c r="B21" s="111"/>
      <c r="C21" s="113"/>
      <c r="D21" s="113"/>
      <c r="E21" s="113"/>
      <c r="F21" s="6">
        <v>5</v>
      </c>
      <c r="G21" s="30" t="s">
        <v>68</v>
      </c>
      <c r="H21" s="56">
        <v>27.22428590163933</v>
      </c>
      <c r="I21" s="56">
        <v>27.232828308676478</v>
      </c>
      <c r="J21" s="31" t="s">
        <v>158</v>
      </c>
      <c r="K21" s="50">
        <v>2.2000000000000002</v>
      </c>
      <c r="L21" s="50">
        <v>0</v>
      </c>
      <c r="M21" s="146">
        <f t="shared" si="0"/>
        <v>-25.024285901639331</v>
      </c>
      <c r="N21" s="147">
        <f t="shared" si="1"/>
        <v>-27.22428590163933</v>
      </c>
      <c r="O21" s="146">
        <f t="shared" si="2"/>
        <v>-25.032828308676478</v>
      </c>
      <c r="P21" s="147">
        <f t="shared" si="3"/>
        <v>-27.232828308676478</v>
      </c>
      <c r="Q21" s="56">
        <v>35.055737704918016</v>
      </c>
      <c r="R21" s="56">
        <v>120.49924030387821</v>
      </c>
    </row>
    <row r="22" spans="2:18" ht="15.75">
      <c r="B22" s="111">
        <v>36</v>
      </c>
      <c r="C22" s="113" t="s">
        <v>186</v>
      </c>
      <c r="D22" s="113" t="s">
        <v>191</v>
      </c>
      <c r="E22" s="113" t="s">
        <v>192</v>
      </c>
      <c r="F22" s="6">
        <v>1</v>
      </c>
      <c r="G22" s="29" t="s">
        <v>69</v>
      </c>
      <c r="H22" s="56">
        <v>13.617587807999993</v>
      </c>
      <c r="I22" s="56">
        <v>13.621860719999999</v>
      </c>
      <c r="J22" s="31" t="s">
        <v>161</v>
      </c>
      <c r="K22" s="50">
        <v>13.6</v>
      </c>
      <c r="L22" s="50">
        <v>20.399999999999999</v>
      </c>
      <c r="M22" s="146">
        <f t="shared" si="0"/>
        <v>-1.7587807999992933E-2</v>
      </c>
      <c r="N22" s="147">
        <f t="shared" si="1"/>
        <v>6.782412192000006</v>
      </c>
      <c r="O22" s="146">
        <f t="shared" si="2"/>
        <v>-2.186071999999939E-2</v>
      </c>
      <c r="P22" s="147">
        <f t="shared" si="3"/>
        <v>6.7781392799999995</v>
      </c>
      <c r="Q22" s="56">
        <v>17.53487999999999</v>
      </c>
      <c r="R22" s="56">
        <v>60.273719999999997</v>
      </c>
    </row>
    <row r="23" spans="2:18" ht="15.75">
      <c r="B23" s="111"/>
      <c r="C23" s="113"/>
      <c r="D23" s="113"/>
      <c r="E23" s="113"/>
      <c r="F23" s="6">
        <v>2</v>
      </c>
      <c r="G23" s="29" t="s">
        <v>53</v>
      </c>
      <c r="H23" s="56">
        <v>40.852763424000003</v>
      </c>
      <c r="I23" s="56">
        <v>13.621860719999999</v>
      </c>
      <c r="J23" s="31" t="s">
        <v>161</v>
      </c>
      <c r="K23" s="50">
        <v>12</v>
      </c>
      <c r="L23" s="50">
        <v>14</v>
      </c>
      <c r="M23" s="146">
        <f t="shared" si="0"/>
        <v>-28.852763424000003</v>
      </c>
      <c r="N23" s="147">
        <f t="shared" si="1"/>
        <v>-26.852763424000003</v>
      </c>
      <c r="O23" s="146">
        <f t="shared" si="2"/>
        <v>-1.621860719999999</v>
      </c>
      <c r="P23" s="147">
        <f t="shared" si="3"/>
        <v>0.37813928000000097</v>
      </c>
      <c r="Q23" s="56">
        <v>52.604640000000003</v>
      </c>
      <c r="R23" s="56">
        <v>60.273719999999997</v>
      </c>
    </row>
    <row r="24" spans="2:18" ht="15.75">
      <c r="B24" s="111"/>
      <c r="C24" s="113"/>
      <c r="D24" s="113"/>
      <c r="E24" s="113"/>
      <c r="F24" s="6">
        <v>3</v>
      </c>
      <c r="G24" s="29" t="s">
        <v>63</v>
      </c>
      <c r="H24" s="56">
        <v>27.235175615999985</v>
      </c>
      <c r="I24" s="56">
        <v>47.676512519999982</v>
      </c>
      <c r="J24" s="31" t="s">
        <v>158</v>
      </c>
      <c r="K24" s="50">
        <v>12.8</v>
      </c>
      <c r="L24" s="50">
        <v>29.2</v>
      </c>
      <c r="M24" s="146">
        <f t="shared" si="0"/>
        <v>-14.435175615999984</v>
      </c>
      <c r="N24" s="147">
        <f t="shared" si="1"/>
        <v>1.9648243840000141</v>
      </c>
      <c r="O24" s="146">
        <f t="shared" si="2"/>
        <v>-34.876512519999977</v>
      </c>
      <c r="P24" s="147">
        <f t="shared" si="3"/>
        <v>-18.476512519999982</v>
      </c>
      <c r="Q24" s="56">
        <v>35.069759999999981</v>
      </c>
      <c r="R24" s="56">
        <v>210.95801999999992</v>
      </c>
    </row>
    <row r="25" spans="2:18" ht="15.75">
      <c r="B25" s="111"/>
      <c r="C25" s="113"/>
      <c r="D25" s="113"/>
      <c r="E25" s="113"/>
      <c r="F25" s="6">
        <v>4</v>
      </c>
      <c r="G25" s="29" t="s">
        <v>70</v>
      </c>
      <c r="H25" s="56">
        <v>13.617587808000005</v>
      </c>
      <c r="I25" s="56">
        <v>6.8109303600000244</v>
      </c>
      <c r="J25" s="31" t="s">
        <v>159</v>
      </c>
      <c r="K25" s="50">
        <v>12.6</v>
      </c>
      <c r="L25" s="50">
        <v>20.2</v>
      </c>
      <c r="M25" s="146">
        <f t="shared" si="0"/>
        <v>-1.0175878080000054</v>
      </c>
      <c r="N25" s="147">
        <f t="shared" si="1"/>
        <v>6.5824121919999943</v>
      </c>
      <c r="O25" s="146">
        <f t="shared" si="2"/>
        <v>5.7890696399999753</v>
      </c>
      <c r="P25" s="147">
        <f t="shared" si="3"/>
        <v>13.389069639999974</v>
      </c>
      <c r="Q25" s="56">
        <v>17.534880000000008</v>
      </c>
      <c r="R25" s="56">
        <v>30.136860000000109</v>
      </c>
    </row>
    <row r="26" spans="2:18" ht="33.75" customHeight="1">
      <c r="B26" s="111"/>
      <c r="C26" s="113"/>
      <c r="D26" s="113"/>
      <c r="E26" s="113"/>
      <c r="F26" s="6">
        <v>5</v>
      </c>
      <c r="G26" s="30" t="s">
        <v>71</v>
      </c>
      <c r="H26" s="56">
        <v>34.037162087582452</v>
      </c>
      <c r="I26" s="56">
        <v>27.238273785242932</v>
      </c>
      <c r="J26" s="31" t="s">
        <v>158</v>
      </c>
      <c r="K26" s="50">
        <v>34.6</v>
      </c>
      <c r="L26" s="50">
        <v>158.6</v>
      </c>
      <c r="M26" s="146">
        <f t="shared" si="0"/>
        <v>0.56283791241754955</v>
      </c>
      <c r="N26" s="147">
        <f t="shared" si="1"/>
        <v>124.56283791241754</v>
      </c>
      <c r="O26" s="146">
        <f t="shared" si="2"/>
        <v>7.3617262147570699</v>
      </c>
      <c r="P26" s="147">
        <f t="shared" si="3"/>
        <v>131.36172621475706</v>
      </c>
      <c r="Q26" s="56">
        <v>43.828434313137336</v>
      </c>
      <c r="R26" s="56">
        <v>120.52333533293333</v>
      </c>
    </row>
    <row r="27" spans="2:18" ht="15.75">
      <c r="B27" s="111">
        <v>37</v>
      </c>
      <c r="C27" s="113" t="s">
        <v>193</v>
      </c>
      <c r="D27" s="113" t="s">
        <v>194</v>
      </c>
      <c r="E27" s="113" t="s">
        <v>192</v>
      </c>
      <c r="F27" s="6">
        <v>1</v>
      </c>
      <c r="G27" s="29" t="s">
        <v>53</v>
      </c>
      <c r="H27" s="56">
        <v>20.422297252549487</v>
      </c>
      <c r="I27" s="56">
        <v>6.8095684463107622</v>
      </c>
      <c r="J27" s="31" t="s">
        <v>159</v>
      </c>
      <c r="K27" s="50">
        <v>28.8</v>
      </c>
      <c r="L27" s="50">
        <v>71.400000000000006</v>
      </c>
      <c r="M27" s="146">
        <f t="shared" si="0"/>
        <v>8.3777027474505132</v>
      </c>
      <c r="N27" s="147">
        <f t="shared" si="1"/>
        <v>50.977702747450522</v>
      </c>
      <c r="O27" s="146">
        <f t="shared" si="2"/>
        <v>21.990431553689238</v>
      </c>
      <c r="P27" s="147">
        <f t="shared" si="3"/>
        <v>64.590431553689243</v>
      </c>
      <c r="Q27" s="56">
        <v>26.29706058788242</v>
      </c>
      <c r="R27" s="56">
        <v>30.13083383323346</v>
      </c>
    </row>
    <row r="28" spans="2:18" ht="15.75">
      <c r="B28" s="111"/>
      <c r="C28" s="113"/>
      <c r="D28" s="113"/>
      <c r="E28" s="113"/>
      <c r="F28" s="6">
        <v>2</v>
      </c>
      <c r="G28" s="29" t="s">
        <v>63</v>
      </c>
      <c r="H28" s="56">
        <v>20.426381711999994</v>
      </c>
      <c r="I28" s="56">
        <v>95.353025039999949</v>
      </c>
      <c r="J28" s="31" t="s">
        <v>158</v>
      </c>
      <c r="K28" s="50">
        <v>12.8</v>
      </c>
      <c r="L28" s="50">
        <v>60.2</v>
      </c>
      <c r="M28" s="146">
        <f t="shared" si="0"/>
        <v>-7.6263817119999935</v>
      </c>
      <c r="N28" s="147">
        <f t="shared" si="1"/>
        <v>39.773618288000009</v>
      </c>
      <c r="O28" s="146">
        <f t="shared" si="2"/>
        <v>-82.553025039999952</v>
      </c>
      <c r="P28" s="147">
        <f t="shared" si="3"/>
        <v>-35.153025039999946</v>
      </c>
      <c r="Q28" s="56">
        <v>26.302319999999995</v>
      </c>
      <c r="R28" s="56">
        <v>421.91603999999978</v>
      </c>
    </row>
    <row r="29" spans="2:18" ht="15.75">
      <c r="B29" s="111"/>
      <c r="C29" s="113"/>
      <c r="D29" s="113"/>
      <c r="E29" s="113"/>
      <c r="F29" s="6">
        <v>3</v>
      </c>
      <c r="G29" s="29" t="s">
        <v>55</v>
      </c>
      <c r="H29" s="56">
        <v>40.832347250374795</v>
      </c>
      <c r="I29" s="56">
        <v>6.807526596701674</v>
      </c>
      <c r="J29" s="31" t="s">
        <v>159</v>
      </c>
      <c r="K29" s="50">
        <v>42.2</v>
      </c>
      <c r="L29" s="50">
        <v>59</v>
      </c>
      <c r="M29" s="146">
        <f t="shared" si="0"/>
        <v>1.3676527496252078</v>
      </c>
      <c r="N29" s="147">
        <f t="shared" si="1"/>
        <v>18.167652749625205</v>
      </c>
      <c r="O29" s="146">
        <f t="shared" si="2"/>
        <v>35.392473403298325</v>
      </c>
      <c r="P29" s="147">
        <f t="shared" si="3"/>
        <v>52.192473403298322</v>
      </c>
      <c r="Q29" s="56">
        <v>52.578350824587687</v>
      </c>
      <c r="R29" s="56">
        <v>30.121799100449884</v>
      </c>
    </row>
    <row r="30" spans="2:18" ht="15.75">
      <c r="B30" s="111"/>
      <c r="C30" s="113"/>
      <c r="D30" s="113"/>
      <c r="E30" s="113"/>
      <c r="F30" s="6">
        <v>4</v>
      </c>
      <c r="G30" s="29" t="s">
        <v>73</v>
      </c>
      <c r="H30" s="56">
        <v>27.218844309414379</v>
      </c>
      <c r="I30" s="56">
        <v>6.8068462522486755</v>
      </c>
      <c r="J30" s="31" t="s">
        <v>159</v>
      </c>
      <c r="K30" s="50">
        <v>20.8</v>
      </c>
      <c r="L30" s="50">
        <v>40.4</v>
      </c>
      <c r="M30" s="146">
        <f t="shared" si="0"/>
        <v>-6.4188443094143786</v>
      </c>
      <c r="N30" s="147">
        <f t="shared" si="1"/>
        <v>13.181155690585619</v>
      </c>
      <c r="O30" s="146">
        <f t="shared" si="2"/>
        <v>13.993153747751325</v>
      </c>
      <c r="P30" s="147">
        <f t="shared" si="3"/>
        <v>33.593153747751323</v>
      </c>
      <c r="Q30" s="56">
        <v>35.048730761543112</v>
      </c>
      <c r="R30" s="56">
        <v>30.118788726764048</v>
      </c>
    </row>
    <row r="31" spans="2:18" ht="15.75">
      <c r="B31" s="111"/>
      <c r="C31" s="113"/>
      <c r="D31" s="113"/>
      <c r="E31" s="113"/>
      <c r="F31" s="6">
        <v>5</v>
      </c>
      <c r="G31" s="29" t="s">
        <v>64</v>
      </c>
      <c r="H31" s="56">
        <v>13.612142950819695</v>
      </c>
      <c r="I31" s="56">
        <v>6.8082070771691567</v>
      </c>
      <c r="J31" s="31" t="s">
        <v>159</v>
      </c>
      <c r="K31" s="50">
        <v>22.8</v>
      </c>
      <c r="L31" s="50">
        <v>38.4</v>
      </c>
      <c r="M31" s="146">
        <f t="shared" si="0"/>
        <v>9.1878570491803053</v>
      </c>
      <c r="N31" s="147">
        <f t="shared" si="1"/>
        <v>24.787857049180303</v>
      </c>
      <c r="O31" s="146">
        <f t="shared" si="2"/>
        <v>15.991792922830843</v>
      </c>
      <c r="P31" s="147">
        <f t="shared" si="3"/>
        <v>31.591792922830841</v>
      </c>
      <c r="Q31" s="56">
        <v>17.527868852459047</v>
      </c>
      <c r="R31" s="56">
        <v>30.124810075969719</v>
      </c>
    </row>
    <row r="32" spans="2:18" ht="15.75">
      <c r="B32" s="111">
        <v>38</v>
      </c>
      <c r="C32" s="113" t="s">
        <v>193</v>
      </c>
      <c r="D32" s="113" t="s">
        <v>194</v>
      </c>
      <c r="E32" s="113" t="s">
        <v>192</v>
      </c>
      <c r="F32" s="6">
        <v>1</v>
      </c>
      <c r="G32" s="29" t="s">
        <v>75</v>
      </c>
      <c r="H32" s="56">
        <v>20.410053669064744</v>
      </c>
      <c r="I32" s="56">
        <v>13.610971942446042</v>
      </c>
      <c r="J32" s="31" t="s">
        <v>161</v>
      </c>
      <c r="K32" s="50">
        <v>20.399999999999999</v>
      </c>
      <c r="L32" s="50">
        <v>70.2</v>
      </c>
      <c r="M32" s="146">
        <f t="shared" si="0"/>
        <v>-1.0053669064745918E-2</v>
      </c>
      <c r="N32" s="147">
        <f t="shared" si="1"/>
        <v>49.789946330935258</v>
      </c>
      <c r="O32" s="146">
        <f t="shared" si="2"/>
        <v>6.7890280575539563</v>
      </c>
      <c r="P32" s="147">
        <f t="shared" si="3"/>
        <v>56.589028057553961</v>
      </c>
      <c r="Q32" s="56">
        <v>26.281294964028774</v>
      </c>
      <c r="R32" s="56">
        <v>60.225539568345319</v>
      </c>
    </row>
    <row r="33" spans="2:18" ht="15.75">
      <c r="B33" s="111"/>
      <c r="C33" s="113"/>
      <c r="D33" s="113"/>
      <c r="E33" s="113"/>
      <c r="F33" s="6">
        <v>2</v>
      </c>
      <c r="G33" s="29" t="s">
        <v>76</v>
      </c>
      <c r="H33" s="56">
        <v>20.41413323206076</v>
      </c>
      <c r="I33" s="56">
        <v>6.8068462522487962</v>
      </c>
      <c r="J33" s="31" t="s">
        <v>159</v>
      </c>
      <c r="K33" s="50">
        <v>16.2</v>
      </c>
      <c r="L33" s="50">
        <v>59.2</v>
      </c>
      <c r="M33" s="146">
        <f t="shared" si="0"/>
        <v>-4.2141332320607603</v>
      </c>
      <c r="N33" s="147">
        <f t="shared" si="1"/>
        <v>38.78586676793924</v>
      </c>
      <c r="O33" s="146">
        <f t="shared" si="2"/>
        <v>9.393153747751203</v>
      </c>
      <c r="P33" s="147">
        <f t="shared" si="3"/>
        <v>52.393153747751207</v>
      </c>
      <c r="Q33" s="56">
        <v>26.286548071157302</v>
      </c>
      <c r="R33" s="56">
        <v>30.118788726764585</v>
      </c>
    </row>
    <row r="34" spans="2:18" ht="15.75">
      <c r="B34" s="111"/>
      <c r="C34" s="113"/>
      <c r="D34" s="113"/>
      <c r="E34" s="113"/>
      <c r="F34" s="6">
        <v>3</v>
      </c>
      <c r="G34" s="29" t="s">
        <v>63</v>
      </c>
      <c r="H34" s="56">
        <v>6.803351223021509</v>
      </c>
      <c r="I34" s="56">
        <v>6.8054859712229261</v>
      </c>
      <c r="J34" s="31" t="s">
        <v>159</v>
      </c>
      <c r="K34" s="50">
        <v>21</v>
      </c>
      <c r="L34" s="50">
        <v>107</v>
      </c>
      <c r="M34" s="146">
        <f t="shared" si="0"/>
        <v>14.196648776978492</v>
      </c>
      <c r="N34" s="147">
        <f t="shared" si="1"/>
        <v>100.19664877697849</v>
      </c>
      <c r="O34" s="146">
        <f t="shared" si="2"/>
        <v>14.194514028777075</v>
      </c>
      <c r="P34" s="147">
        <f t="shared" si="3"/>
        <v>100.19451402877708</v>
      </c>
      <c r="Q34" s="56">
        <v>8.7604316546761645</v>
      </c>
      <c r="R34" s="56">
        <v>30.112769784172237</v>
      </c>
    </row>
    <row r="35" spans="2:18" ht="15.75">
      <c r="B35" s="111"/>
      <c r="C35" s="113"/>
      <c r="D35" s="113"/>
      <c r="E35" s="113"/>
      <c r="F35" s="6">
        <v>4</v>
      </c>
      <c r="G35" s="29" t="s">
        <v>64</v>
      </c>
      <c r="H35" s="56">
        <v>6.8026714996503594</v>
      </c>
      <c r="I35" s="56">
        <v>6.8048060345690331</v>
      </c>
      <c r="J35" s="31" t="s">
        <v>159</v>
      </c>
      <c r="K35" s="50">
        <v>13.6</v>
      </c>
      <c r="L35" s="50">
        <v>70.8</v>
      </c>
      <c r="M35" s="146">
        <f t="shared" si="0"/>
        <v>6.7973285003496402</v>
      </c>
      <c r="N35" s="147">
        <f t="shared" si="1"/>
        <v>63.997328500349639</v>
      </c>
      <c r="O35" s="146">
        <f t="shared" si="2"/>
        <v>6.7951939654309665</v>
      </c>
      <c r="P35" s="147">
        <f t="shared" si="3"/>
        <v>63.995193965430964</v>
      </c>
      <c r="Q35" s="56">
        <v>8.7595563992407417</v>
      </c>
      <c r="R35" s="56">
        <v>30.109761214907227</v>
      </c>
    </row>
    <row r="36" spans="2:18" ht="28.5" customHeight="1">
      <c r="B36" s="111"/>
      <c r="C36" s="113"/>
      <c r="D36" s="113"/>
      <c r="E36" s="113"/>
      <c r="F36" s="6">
        <v>5</v>
      </c>
      <c r="G36" s="30" t="s">
        <v>77</v>
      </c>
      <c r="H36" s="56">
        <v>13.610782416791627</v>
      </c>
      <c r="I36" s="56">
        <v>6.8075265967015524</v>
      </c>
      <c r="J36" s="31" t="s">
        <v>159</v>
      </c>
      <c r="K36" s="50">
        <v>20.8</v>
      </c>
      <c r="L36" s="50">
        <v>57.8</v>
      </c>
      <c r="M36" s="146">
        <f t="shared" si="0"/>
        <v>7.1892175832083733</v>
      </c>
      <c r="N36" s="147">
        <f t="shared" si="1"/>
        <v>44.189217583208368</v>
      </c>
      <c r="O36" s="146">
        <f t="shared" si="2"/>
        <v>13.992473403298447</v>
      </c>
      <c r="P36" s="147">
        <f t="shared" si="3"/>
        <v>50.992473403298447</v>
      </c>
      <c r="Q36" s="56">
        <v>17.526116941529267</v>
      </c>
      <c r="R36" s="56">
        <v>30.121799100449348</v>
      </c>
    </row>
    <row r="37" spans="2:18" ht="15.75">
      <c r="B37" s="111">
        <v>41</v>
      </c>
      <c r="C37" s="113" t="s">
        <v>186</v>
      </c>
      <c r="D37" s="113" t="s">
        <v>194</v>
      </c>
      <c r="E37" s="113" t="s">
        <v>192</v>
      </c>
      <c r="F37" s="6">
        <v>1</v>
      </c>
      <c r="G37" s="29" t="s">
        <v>78</v>
      </c>
      <c r="H37" s="56">
        <v>6.8026714996503115</v>
      </c>
      <c r="I37" s="56">
        <v>115.68170258767108</v>
      </c>
      <c r="J37" s="31" t="s">
        <v>158</v>
      </c>
      <c r="K37" s="50">
        <v>73.8</v>
      </c>
      <c r="L37" s="50">
        <v>372.6</v>
      </c>
      <c r="M37" s="146">
        <f t="shared" si="0"/>
        <v>66.997328500349681</v>
      </c>
      <c r="N37" s="147">
        <f t="shared" si="1"/>
        <v>365.79732850034969</v>
      </c>
      <c r="O37" s="146">
        <f t="shared" si="2"/>
        <v>-41.881702587671086</v>
      </c>
      <c r="P37" s="147">
        <f t="shared" si="3"/>
        <v>256.91829741232891</v>
      </c>
      <c r="Q37" s="56">
        <v>8.7595563992406795</v>
      </c>
      <c r="R37" s="56">
        <v>511.86594065341188</v>
      </c>
    </row>
    <row r="38" spans="2:18" ht="15.75">
      <c r="B38" s="111"/>
      <c r="C38" s="113"/>
      <c r="D38" s="113"/>
      <c r="E38" s="113"/>
      <c r="F38" s="6">
        <v>2</v>
      </c>
      <c r="G38" s="29" t="s">
        <v>53</v>
      </c>
      <c r="H38" s="56">
        <v>6.8087939040000016</v>
      </c>
      <c r="I38" s="56">
        <v>13.621860719999999</v>
      </c>
      <c r="J38" s="31" t="s">
        <v>161</v>
      </c>
      <c r="K38" s="50">
        <v>49.2</v>
      </c>
      <c r="L38" s="50">
        <v>150.19999999999999</v>
      </c>
      <c r="M38" s="146">
        <f t="shared" si="0"/>
        <v>42.391206096000005</v>
      </c>
      <c r="N38" s="147">
        <f t="shared" si="1"/>
        <v>143.39120609599999</v>
      </c>
      <c r="O38" s="146">
        <f t="shared" si="2"/>
        <v>35.578139280000002</v>
      </c>
      <c r="P38" s="147">
        <f t="shared" si="3"/>
        <v>136.57813927999999</v>
      </c>
      <c r="Q38" s="56">
        <v>8.7674400000000023</v>
      </c>
      <c r="R38" s="56">
        <v>60.273719999999997</v>
      </c>
    </row>
    <row r="39" spans="2:18" ht="15.75">
      <c r="B39" s="111"/>
      <c r="C39" s="113"/>
      <c r="D39" s="113"/>
      <c r="E39" s="113"/>
      <c r="F39" s="6">
        <v>3</v>
      </c>
      <c r="G39" s="29" t="s">
        <v>79</v>
      </c>
      <c r="H39" s="56">
        <v>6.8074324175164991</v>
      </c>
      <c r="I39" s="56">
        <v>6.8095684463107622</v>
      </c>
      <c r="J39" s="31" t="s">
        <v>159</v>
      </c>
      <c r="K39" s="50">
        <v>30</v>
      </c>
      <c r="L39" s="50">
        <v>85.2</v>
      </c>
      <c r="M39" s="146">
        <f t="shared" si="0"/>
        <v>23.192567582483502</v>
      </c>
      <c r="N39" s="147">
        <f t="shared" si="1"/>
        <v>78.392567582483508</v>
      </c>
      <c r="O39" s="146">
        <f t="shared" si="2"/>
        <v>23.190431553689237</v>
      </c>
      <c r="P39" s="147">
        <f t="shared" si="3"/>
        <v>78.39043155368924</v>
      </c>
      <c r="Q39" s="56">
        <v>8.7656868626274775</v>
      </c>
      <c r="R39" s="56">
        <v>30.13083383323346</v>
      </c>
    </row>
    <row r="40" spans="2:18" ht="15.75">
      <c r="B40" s="111"/>
      <c r="C40" s="113"/>
      <c r="D40" s="113"/>
      <c r="E40" s="113"/>
      <c r="F40" s="6">
        <v>4</v>
      </c>
      <c r="G40" s="29" t="s">
        <v>80</v>
      </c>
      <c r="H40" s="56">
        <v>13.617587807999993</v>
      </c>
      <c r="I40" s="56">
        <v>6.810930359999964</v>
      </c>
      <c r="J40" s="31" t="s">
        <v>159</v>
      </c>
      <c r="K40" s="50">
        <v>53</v>
      </c>
      <c r="L40" s="50">
        <v>142.4</v>
      </c>
      <c r="M40" s="146">
        <f t="shared" si="0"/>
        <v>39.382412192000004</v>
      </c>
      <c r="N40" s="147">
        <f t="shared" si="1"/>
        <v>128.78241219200001</v>
      </c>
      <c r="O40" s="146">
        <f t="shared" si="2"/>
        <v>46.189069640000035</v>
      </c>
      <c r="P40" s="147">
        <f t="shared" si="3"/>
        <v>135.58906964000005</v>
      </c>
      <c r="Q40" s="56">
        <v>17.53487999999999</v>
      </c>
      <c r="R40" s="56">
        <v>30.136859999999839</v>
      </c>
    </row>
    <row r="41" spans="2:18" ht="15.75">
      <c r="B41" s="111"/>
      <c r="C41" s="113"/>
      <c r="D41" s="113"/>
      <c r="E41" s="113"/>
      <c r="F41" s="6">
        <v>5</v>
      </c>
      <c r="G41" s="29" t="s">
        <v>81</v>
      </c>
      <c r="H41" s="56">
        <v>6.8087939040000016</v>
      </c>
      <c r="I41" s="56">
        <v>6.8109303600000244</v>
      </c>
      <c r="J41" s="31" t="s">
        <v>159</v>
      </c>
      <c r="K41" s="50">
        <v>51.8</v>
      </c>
      <c r="L41" s="50">
        <v>161.80000000000001</v>
      </c>
      <c r="M41" s="146">
        <f t="shared" si="0"/>
        <v>44.991206095999999</v>
      </c>
      <c r="N41" s="147">
        <f t="shared" si="1"/>
        <v>154.99120609600001</v>
      </c>
      <c r="O41" s="146">
        <f t="shared" si="2"/>
        <v>44.989069639999975</v>
      </c>
      <c r="P41" s="147">
        <f t="shared" si="3"/>
        <v>154.98906964</v>
      </c>
      <c r="Q41" s="56">
        <v>8.7674400000000023</v>
      </c>
      <c r="R41" s="56">
        <v>30.136860000000109</v>
      </c>
    </row>
    <row r="42" spans="2:18">
      <c r="E42" s="151" t="s">
        <v>111</v>
      </c>
    </row>
    <row r="43" spans="2:18">
      <c r="E43" s="148" t="s">
        <v>112</v>
      </c>
      <c r="F43" s="148"/>
      <c r="G43" s="148"/>
      <c r="H43" s="148"/>
      <c r="I43" s="148"/>
      <c r="J43" s="148"/>
    </row>
    <row r="44" spans="2:18">
      <c r="E44" s="148" t="s">
        <v>113</v>
      </c>
      <c r="F44" s="148"/>
      <c r="G44" s="148"/>
      <c r="H44" s="148"/>
      <c r="I44" s="148"/>
      <c r="J44" s="148"/>
    </row>
  </sheetData>
  <mergeCells count="44">
    <mergeCell ref="B4:P4"/>
    <mergeCell ref="E43:J43"/>
    <mergeCell ref="E44:J44"/>
    <mergeCell ref="B32:B36"/>
    <mergeCell ref="C32:C36"/>
    <mergeCell ref="D32:D36"/>
    <mergeCell ref="B37:B41"/>
    <mergeCell ref="C37:C41"/>
    <mergeCell ref="D37:D41"/>
    <mergeCell ref="B22:B26"/>
    <mergeCell ref="C22:C26"/>
    <mergeCell ref="D22:D26"/>
    <mergeCell ref="B27:B31"/>
    <mergeCell ref="C27:C31"/>
    <mergeCell ref="D27:D31"/>
    <mergeCell ref="B12:B16"/>
    <mergeCell ref="C12:C16"/>
    <mergeCell ref="D12:D16"/>
    <mergeCell ref="B17:B21"/>
    <mergeCell ref="C17:C21"/>
    <mergeCell ref="D17:D21"/>
    <mergeCell ref="H5:I5"/>
    <mergeCell ref="Q5:Y5"/>
    <mergeCell ref="B7:B11"/>
    <mergeCell ref="C7:C11"/>
    <mergeCell ref="D7:D11"/>
    <mergeCell ref="D5:D6"/>
    <mergeCell ref="C5:C6"/>
    <mergeCell ref="B5:B6"/>
    <mergeCell ref="J5:J6"/>
    <mergeCell ref="O5:P5"/>
    <mergeCell ref="E32:E36"/>
    <mergeCell ref="E37:E41"/>
    <mergeCell ref="M5:N5"/>
    <mergeCell ref="E7:E11"/>
    <mergeCell ref="E17:E21"/>
    <mergeCell ref="E22:E26"/>
    <mergeCell ref="E27:E31"/>
    <mergeCell ref="E12:E16"/>
    <mergeCell ref="E5:E6"/>
    <mergeCell ref="F5:F6"/>
    <mergeCell ref="G5:G6"/>
    <mergeCell ref="K5:K6"/>
    <mergeCell ref="L5:L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20C3-3854-4AAB-9A8E-2FB3CC31BB8E}">
  <sheetPr codeName="Lembar7"/>
  <dimension ref="B2:M43"/>
  <sheetViews>
    <sheetView workbookViewId="0">
      <selection activeCell="B3" sqref="B3:F39"/>
    </sheetView>
  </sheetViews>
  <sheetFormatPr defaultRowHeight="14.25"/>
  <cols>
    <col min="7" max="7" width="19.5" customWidth="1"/>
    <col min="8" max="13" width="12.75" customWidth="1"/>
  </cols>
  <sheetData>
    <row r="2" spans="2:13" ht="15.75">
      <c r="B2" s="132" t="s">
        <v>96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2:13" ht="15.75" customHeight="1">
      <c r="B3" s="125" t="s">
        <v>182</v>
      </c>
      <c r="C3" s="125" t="s">
        <v>181</v>
      </c>
      <c r="D3" s="125" t="s">
        <v>180</v>
      </c>
      <c r="E3" s="133" t="s">
        <v>179</v>
      </c>
      <c r="F3" s="134" t="s">
        <v>195</v>
      </c>
      <c r="G3" s="132" t="s">
        <v>51</v>
      </c>
      <c r="H3" s="134" t="s">
        <v>98</v>
      </c>
      <c r="I3" s="135" t="s">
        <v>172</v>
      </c>
      <c r="J3" s="134" t="s">
        <v>102</v>
      </c>
      <c r="K3" s="134" t="s">
        <v>103</v>
      </c>
      <c r="L3" s="133" t="s">
        <v>95</v>
      </c>
      <c r="M3" s="133"/>
    </row>
    <row r="4" spans="2:13" ht="56.25" customHeight="1">
      <c r="B4" s="125"/>
      <c r="C4" s="125"/>
      <c r="D4" s="125"/>
      <c r="E4" s="133"/>
      <c r="F4" s="134"/>
      <c r="G4" s="132"/>
      <c r="H4" s="134"/>
      <c r="I4" s="136"/>
      <c r="J4" s="134"/>
      <c r="K4" s="134"/>
      <c r="L4" s="137" t="s">
        <v>93</v>
      </c>
      <c r="M4" s="137" t="s">
        <v>94</v>
      </c>
    </row>
    <row r="5" spans="2:13" ht="15.75">
      <c r="B5" s="111">
        <v>1</v>
      </c>
      <c r="C5" s="113" t="s">
        <v>183</v>
      </c>
      <c r="D5" s="113" t="s">
        <v>184</v>
      </c>
      <c r="E5" s="113" t="s">
        <v>185</v>
      </c>
      <c r="F5" s="6">
        <v>1</v>
      </c>
      <c r="G5" s="29" t="s">
        <v>53</v>
      </c>
      <c r="H5" s="51">
        <v>14.68714183990644</v>
      </c>
      <c r="I5" s="51" t="s">
        <v>162</v>
      </c>
      <c r="J5" s="50">
        <v>23</v>
      </c>
      <c r="K5" s="50">
        <v>141.6</v>
      </c>
      <c r="L5" s="54">
        <f>J5-H5</f>
        <v>8.31285816009356</v>
      </c>
      <c r="M5" s="54">
        <f>K5-H5</f>
        <v>126.91285816009355</v>
      </c>
    </row>
    <row r="6" spans="2:13" ht="15.75">
      <c r="B6" s="111"/>
      <c r="C6" s="113"/>
      <c r="D6" s="113"/>
      <c r="E6" s="113"/>
      <c r="F6" s="6">
        <v>2</v>
      </c>
      <c r="G6" s="29" t="s">
        <v>54</v>
      </c>
      <c r="H6" s="51">
        <v>6.5082172206385094</v>
      </c>
      <c r="I6" s="51" t="s">
        <v>159</v>
      </c>
      <c r="J6" s="50">
        <v>36</v>
      </c>
      <c r="K6" s="50">
        <v>89</v>
      </c>
      <c r="L6" s="54">
        <f t="shared" ref="L6:L39" si="0">J6-H6</f>
        <v>29.49178277936149</v>
      </c>
      <c r="M6" s="54">
        <f t="shared" ref="M6:M39" si="1">K6-H6</f>
        <v>82.491782779361486</v>
      </c>
    </row>
    <row r="7" spans="2:13" ht="15.75">
      <c r="B7" s="111"/>
      <c r="C7" s="113"/>
      <c r="D7" s="113"/>
      <c r="E7" s="113"/>
      <c r="F7" s="6">
        <v>3</v>
      </c>
      <c r="G7" s="29" t="s">
        <v>55</v>
      </c>
      <c r="H7" s="51">
        <v>19.231309618697193</v>
      </c>
      <c r="I7" s="51" t="s">
        <v>161</v>
      </c>
      <c r="J7" s="50">
        <v>37.799999999999997</v>
      </c>
      <c r="K7" s="50">
        <v>155</v>
      </c>
      <c r="L7" s="54">
        <f t="shared" si="0"/>
        <v>18.568690381302805</v>
      </c>
      <c r="M7" s="54">
        <f t="shared" si="1"/>
        <v>135.7686903813028</v>
      </c>
    </row>
    <row r="8" spans="2:13" ht="15.75">
      <c r="B8" s="111"/>
      <c r="C8" s="113"/>
      <c r="D8" s="113"/>
      <c r="E8" s="113"/>
      <c r="F8" s="6">
        <v>4</v>
      </c>
      <c r="G8" s="29" t="s">
        <v>56</v>
      </c>
      <c r="H8" s="51">
        <v>2.9771290232376355</v>
      </c>
      <c r="I8" s="51" t="s">
        <v>159</v>
      </c>
      <c r="J8" s="50">
        <v>34.4</v>
      </c>
      <c r="K8" s="50">
        <v>269</v>
      </c>
      <c r="L8" s="54">
        <f t="shared" si="0"/>
        <v>31.422870976762361</v>
      </c>
      <c r="M8" s="54">
        <f t="shared" si="1"/>
        <v>266.02287097676236</v>
      </c>
    </row>
    <row r="9" spans="2:13" ht="15.75">
      <c r="B9" s="111"/>
      <c r="C9" s="113"/>
      <c r="D9" s="113"/>
      <c r="E9" s="113"/>
      <c r="F9" s="6">
        <v>5</v>
      </c>
      <c r="G9" s="29" t="s">
        <v>57</v>
      </c>
      <c r="H9" s="51">
        <v>2.3792171572836178</v>
      </c>
      <c r="I9" s="51" t="s">
        <v>159</v>
      </c>
      <c r="J9" s="50">
        <v>27.4</v>
      </c>
      <c r="K9" s="50">
        <v>71.400000000000006</v>
      </c>
      <c r="L9" s="54">
        <f t="shared" si="0"/>
        <v>25.020782842716379</v>
      </c>
      <c r="M9" s="54">
        <f t="shared" si="1"/>
        <v>69.020782842716386</v>
      </c>
    </row>
    <row r="10" spans="2:13" ht="15.75">
      <c r="B10" s="111">
        <v>7</v>
      </c>
      <c r="C10" s="113" t="s">
        <v>186</v>
      </c>
      <c r="D10" s="113" t="s">
        <v>187</v>
      </c>
      <c r="E10" s="113" t="s">
        <v>185</v>
      </c>
      <c r="F10" s="6">
        <v>1</v>
      </c>
      <c r="G10" s="29" t="s">
        <v>58</v>
      </c>
      <c r="H10" s="51">
        <v>22.744686624502638</v>
      </c>
      <c r="I10" s="51" t="s">
        <v>161</v>
      </c>
      <c r="J10" s="50">
        <v>93.8</v>
      </c>
      <c r="K10" s="50">
        <v>378.6</v>
      </c>
      <c r="L10" s="54">
        <f t="shared" si="0"/>
        <v>71.055313375497363</v>
      </c>
      <c r="M10" s="54">
        <f t="shared" si="1"/>
        <v>355.85531337549736</v>
      </c>
    </row>
    <row r="11" spans="2:13" ht="15.75">
      <c r="B11" s="111"/>
      <c r="C11" s="113"/>
      <c r="D11" s="113"/>
      <c r="E11" s="113"/>
      <c r="F11" s="6">
        <v>2</v>
      </c>
      <c r="G11" s="29" t="s">
        <v>59</v>
      </c>
      <c r="H11" s="51">
        <v>9.411829884400758</v>
      </c>
      <c r="I11" s="51" t="s">
        <v>159</v>
      </c>
      <c r="J11" s="50">
        <v>41.2</v>
      </c>
      <c r="K11" s="50">
        <v>201.6</v>
      </c>
      <c r="L11" s="54">
        <f t="shared" si="0"/>
        <v>31.788170115599243</v>
      </c>
      <c r="M11" s="54">
        <f t="shared" si="1"/>
        <v>192.18817011559923</v>
      </c>
    </row>
    <row r="12" spans="2:13" ht="15.75">
      <c r="B12" s="111"/>
      <c r="C12" s="113"/>
      <c r="D12" s="113"/>
      <c r="E12" s="113"/>
      <c r="F12" s="6">
        <v>3</v>
      </c>
      <c r="G12" s="29" t="s">
        <v>60</v>
      </c>
      <c r="H12" s="51">
        <v>2.2718938115678249</v>
      </c>
      <c r="I12" s="51" t="s">
        <v>159</v>
      </c>
      <c r="J12" s="50">
        <v>65.2</v>
      </c>
      <c r="K12" s="50">
        <v>246.2</v>
      </c>
      <c r="L12" s="54">
        <f t="shared" si="0"/>
        <v>62.928106188432182</v>
      </c>
      <c r="M12" s="54">
        <f t="shared" si="1"/>
        <v>243.92810618843217</v>
      </c>
    </row>
    <row r="13" spans="2:13" ht="15.75">
      <c r="B13" s="111"/>
      <c r="C13" s="113"/>
      <c r="D13" s="113"/>
      <c r="E13" s="113"/>
      <c r="F13" s="6">
        <v>4</v>
      </c>
      <c r="G13" s="29" t="s">
        <v>61</v>
      </c>
      <c r="H13" s="51">
        <v>2.7435690617275497</v>
      </c>
      <c r="I13" s="51" t="s">
        <v>159</v>
      </c>
      <c r="J13" s="50">
        <v>5.2</v>
      </c>
      <c r="K13" s="50">
        <v>22.4</v>
      </c>
      <c r="L13" s="54">
        <f t="shared" si="0"/>
        <v>2.4564309382724505</v>
      </c>
      <c r="M13" s="54">
        <f t="shared" si="1"/>
        <v>19.65643093827245</v>
      </c>
    </row>
    <row r="14" spans="2:13" ht="15.75">
      <c r="B14" s="111"/>
      <c r="C14" s="113"/>
      <c r="D14" s="113"/>
      <c r="E14" s="113"/>
      <c r="F14" s="6">
        <v>5</v>
      </c>
      <c r="G14" s="29" t="s">
        <v>62</v>
      </c>
      <c r="H14" s="51">
        <v>5.668961099924104</v>
      </c>
      <c r="I14" s="51" t="s">
        <v>159</v>
      </c>
      <c r="J14" s="50">
        <v>11.6</v>
      </c>
      <c r="K14" s="50">
        <v>93</v>
      </c>
      <c r="L14" s="54">
        <f t="shared" si="0"/>
        <v>5.9310389000758956</v>
      </c>
      <c r="M14" s="54">
        <f t="shared" si="1"/>
        <v>87.331038900075896</v>
      </c>
    </row>
    <row r="15" spans="2:13" ht="15.75">
      <c r="B15" s="111">
        <v>32</v>
      </c>
      <c r="C15" s="113" t="s">
        <v>188</v>
      </c>
      <c r="D15" s="113" t="s">
        <v>189</v>
      </c>
      <c r="E15" s="113" t="s">
        <v>190</v>
      </c>
      <c r="F15" s="6">
        <v>1</v>
      </c>
      <c r="G15" s="29" t="s">
        <v>63</v>
      </c>
      <c r="H15" s="51">
        <v>60.751817493861729</v>
      </c>
      <c r="I15" s="51" t="s">
        <v>158</v>
      </c>
      <c r="J15" s="50">
        <v>31.8</v>
      </c>
      <c r="K15" s="50">
        <v>213</v>
      </c>
      <c r="L15" s="54">
        <f t="shared" si="0"/>
        <v>-28.951817493861729</v>
      </c>
      <c r="M15" s="54">
        <f t="shared" si="1"/>
        <v>152.24818250613828</v>
      </c>
    </row>
    <row r="16" spans="2:13" ht="15.75">
      <c r="B16" s="111"/>
      <c r="C16" s="113"/>
      <c r="D16" s="113"/>
      <c r="E16" s="113"/>
      <c r="F16" s="6">
        <v>2</v>
      </c>
      <c r="G16" s="29" t="s">
        <v>53</v>
      </c>
      <c r="H16" s="51">
        <v>70.842371510426887</v>
      </c>
      <c r="I16" s="51" t="s">
        <v>158</v>
      </c>
      <c r="J16" s="50">
        <v>37</v>
      </c>
      <c r="K16" s="50">
        <v>228.2</v>
      </c>
      <c r="L16" s="54">
        <f t="shared" si="0"/>
        <v>-33.842371510426887</v>
      </c>
      <c r="M16" s="54">
        <f t="shared" si="1"/>
        <v>157.3576284895731</v>
      </c>
    </row>
    <row r="17" spans="2:13" ht="15.75">
      <c r="B17" s="111"/>
      <c r="C17" s="113"/>
      <c r="D17" s="113"/>
      <c r="E17" s="113"/>
      <c r="F17" s="6">
        <v>3</v>
      </c>
      <c r="G17" s="29" t="s">
        <v>64</v>
      </c>
      <c r="H17" s="51">
        <v>50.413416443348297</v>
      </c>
      <c r="I17" s="51" t="s">
        <v>158</v>
      </c>
      <c r="J17" s="50">
        <v>11.8</v>
      </c>
      <c r="K17" s="50">
        <v>83</v>
      </c>
      <c r="L17" s="54">
        <f t="shared" si="0"/>
        <v>-38.613416443348299</v>
      </c>
      <c r="M17" s="54">
        <f t="shared" si="1"/>
        <v>32.586583556651703</v>
      </c>
    </row>
    <row r="18" spans="2:13" ht="36.75" customHeight="1">
      <c r="B18" s="111"/>
      <c r="C18" s="113"/>
      <c r="D18" s="113"/>
      <c r="E18" s="113"/>
      <c r="F18" s="6">
        <v>4</v>
      </c>
      <c r="G18" s="30" t="s">
        <v>66</v>
      </c>
      <c r="H18" s="51">
        <v>6.9785665781063786</v>
      </c>
      <c r="I18" s="51" t="s">
        <v>159</v>
      </c>
      <c r="J18" s="50">
        <v>6</v>
      </c>
      <c r="K18" s="50">
        <v>31.8</v>
      </c>
      <c r="L18" s="54">
        <f t="shared" si="0"/>
        <v>-0.97856657810637859</v>
      </c>
      <c r="M18" s="54">
        <f t="shared" si="1"/>
        <v>24.821433421893623</v>
      </c>
    </row>
    <row r="19" spans="2:13" ht="54" customHeight="1">
      <c r="B19" s="111"/>
      <c r="C19" s="113"/>
      <c r="D19" s="113"/>
      <c r="E19" s="113"/>
      <c r="F19" s="6">
        <v>5</v>
      </c>
      <c r="G19" s="30" t="s">
        <v>68</v>
      </c>
      <c r="H19" s="51">
        <v>3.6710022953672827</v>
      </c>
      <c r="I19" s="51" t="s">
        <v>159</v>
      </c>
      <c r="J19" s="50">
        <v>8.6</v>
      </c>
      <c r="K19" s="50">
        <v>40.6</v>
      </c>
      <c r="L19" s="54">
        <f t="shared" si="0"/>
        <v>4.9289977046327174</v>
      </c>
      <c r="M19" s="54">
        <f t="shared" si="1"/>
        <v>36.928997704632721</v>
      </c>
    </row>
    <row r="20" spans="2:13" ht="15.75">
      <c r="B20" s="111">
        <v>36</v>
      </c>
      <c r="C20" s="113" t="s">
        <v>186</v>
      </c>
      <c r="D20" s="113" t="s">
        <v>191</v>
      </c>
      <c r="E20" s="113" t="s">
        <v>192</v>
      </c>
      <c r="F20" s="6">
        <v>1</v>
      </c>
      <c r="G20" s="29" t="s">
        <v>69</v>
      </c>
      <c r="H20" s="51">
        <v>6.068241584772271</v>
      </c>
      <c r="I20" s="51" t="s">
        <v>159</v>
      </c>
      <c r="J20" s="50">
        <v>30.8</v>
      </c>
      <c r="K20" s="50">
        <v>94</v>
      </c>
      <c r="L20" s="54">
        <f t="shared" si="0"/>
        <v>24.731758415227731</v>
      </c>
      <c r="M20" s="54">
        <f t="shared" si="1"/>
        <v>87.931758415227733</v>
      </c>
    </row>
    <row r="21" spans="2:13" ht="15.75">
      <c r="B21" s="111"/>
      <c r="C21" s="113"/>
      <c r="D21" s="113"/>
      <c r="E21" s="113"/>
      <c r="F21" s="6">
        <v>2</v>
      </c>
      <c r="G21" s="29" t="s">
        <v>53</v>
      </c>
      <c r="H21" s="51">
        <v>4.1109869995336465</v>
      </c>
      <c r="I21" s="51" t="s">
        <v>159</v>
      </c>
      <c r="J21" s="50">
        <v>20</v>
      </c>
      <c r="K21" s="50">
        <v>78.599999999999994</v>
      </c>
      <c r="L21" s="54">
        <f t="shared" si="0"/>
        <v>15.889013000466353</v>
      </c>
      <c r="M21" s="54">
        <f t="shared" si="1"/>
        <v>74.489013000466343</v>
      </c>
    </row>
    <row r="22" spans="2:13" ht="15.75">
      <c r="B22" s="111"/>
      <c r="C22" s="113"/>
      <c r="D22" s="113"/>
      <c r="E22" s="113"/>
      <c r="F22" s="6">
        <v>3</v>
      </c>
      <c r="G22" s="29" t="s">
        <v>63</v>
      </c>
      <c r="H22" s="51">
        <v>2.4413312523501141</v>
      </c>
      <c r="I22" s="51" t="s">
        <v>159</v>
      </c>
      <c r="J22" s="50">
        <v>25</v>
      </c>
      <c r="K22" s="50">
        <v>114.2</v>
      </c>
      <c r="L22" s="54">
        <f t="shared" si="0"/>
        <v>22.558668747649886</v>
      </c>
      <c r="M22" s="54">
        <f t="shared" si="1"/>
        <v>111.75866874764989</v>
      </c>
    </row>
    <row r="23" spans="2:13" ht="15.75">
      <c r="B23" s="111"/>
      <c r="C23" s="113"/>
      <c r="D23" s="113"/>
      <c r="E23" s="113"/>
      <c r="F23" s="6">
        <v>4</v>
      </c>
      <c r="G23" s="29" t="s">
        <v>70</v>
      </c>
      <c r="H23" s="51">
        <v>6.7555303143191345</v>
      </c>
      <c r="I23" s="51" t="s">
        <v>159</v>
      </c>
      <c r="J23" s="50">
        <v>24.8</v>
      </c>
      <c r="K23" s="50">
        <v>93.4</v>
      </c>
      <c r="L23" s="54">
        <f t="shared" si="0"/>
        <v>18.044469685680866</v>
      </c>
      <c r="M23" s="54">
        <f t="shared" si="1"/>
        <v>86.644469685680875</v>
      </c>
    </row>
    <row r="24" spans="2:13" ht="42" customHeight="1">
      <c r="B24" s="111"/>
      <c r="C24" s="113"/>
      <c r="D24" s="113"/>
      <c r="E24" s="113"/>
      <c r="F24" s="6">
        <v>5</v>
      </c>
      <c r="G24" s="30" t="s">
        <v>71</v>
      </c>
      <c r="H24" s="51">
        <v>256.03652388926844</v>
      </c>
      <c r="I24" s="51" t="s">
        <v>158</v>
      </c>
      <c r="J24" s="50">
        <v>83</v>
      </c>
      <c r="K24" s="50">
        <v>413.6</v>
      </c>
      <c r="L24" s="54">
        <f t="shared" si="0"/>
        <v>-173.03652388926844</v>
      </c>
      <c r="M24" s="54">
        <f t="shared" si="1"/>
        <v>157.56347611073159</v>
      </c>
    </row>
    <row r="25" spans="2:13" ht="15.75">
      <c r="B25" s="111">
        <v>37</v>
      </c>
      <c r="C25" s="113" t="s">
        <v>193</v>
      </c>
      <c r="D25" s="113" t="s">
        <v>194</v>
      </c>
      <c r="E25" s="113" t="s">
        <v>192</v>
      </c>
      <c r="F25" s="6">
        <v>1</v>
      </c>
      <c r="G25" s="29" t="s">
        <v>53</v>
      </c>
      <c r="H25" s="51">
        <v>2.4507221855672254</v>
      </c>
      <c r="I25" s="51" t="s">
        <v>159</v>
      </c>
      <c r="J25" s="50">
        <v>44.8</v>
      </c>
      <c r="K25" s="50">
        <v>211.6</v>
      </c>
      <c r="L25" s="54">
        <f t="shared" si="0"/>
        <v>42.349277814432774</v>
      </c>
      <c r="M25" s="54">
        <f t="shared" si="1"/>
        <v>209.14927781443276</v>
      </c>
    </row>
    <row r="26" spans="2:13" ht="15.75">
      <c r="B26" s="111"/>
      <c r="C26" s="113"/>
      <c r="D26" s="113"/>
      <c r="E26" s="113"/>
      <c r="F26" s="6">
        <v>2</v>
      </c>
      <c r="G26" s="29" t="s">
        <v>63</v>
      </c>
      <c r="H26" s="51">
        <v>3.3721276119397627</v>
      </c>
      <c r="I26" s="51" t="s">
        <v>159</v>
      </c>
      <c r="J26" s="50">
        <v>30.6</v>
      </c>
      <c r="K26" s="50">
        <v>185.8</v>
      </c>
      <c r="L26" s="54">
        <f t="shared" si="0"/>
        <v>27.227872388060238</v>
      </c>
      <c r="M26" s="54">
        <f t="shared" si="1"/>
        <v>182.42787238806025</v>
      </c>
    </row>
    <row r="27" spans="2:13" ht="15.75">
      <c r="B27" s="111"/>
      <c r="C27" s="113"/>
      <c r="D27" s="113"/>
      <c r="E27" s="113"/>
      <c r="F27" s="6">
        <v>3</v>
      </c>
      <c r="G27" s="29" t="s">
        <v>55</v>
      </c>
      <c r="H27" s="51">
        <v>1.5940998948380174</v>
      </c>
      <c r="I27" s="51" t="s">
        <v>159</v>
      </c>
      <c r="J27" s="50">
        <v>89.2</v>
      </c>
      <c r="K27" s="50">
        <v>182.6</v>
      </c>
      <c r="L27" s="54">
        <f t="shared" si="0"/>
        <v>87.605900105161979</v>
      </c>
      <c r="M27" s="54">
        <f t="shared" si="1"/>
        <v>181.00590010516197</v>
      </c>
    </row>
    <row r="28" spans="2:13" ht="15.75">
      <c r="B28" s="111"/>
      <c r="C28" s="113"/>
      <c r="D28" s="113"/>
      <c r="E28" s="113"/>
      <c r="F28" s="6">
        <v>4</v>
      </c>
      <c r="G28" s="29" t="s">
        <v>73</v>
      </c>
      <c r="H28" s="51">
        <v>3.9245196427511515</v>
      </c>
      <c r="I28" s="51" t="s">
        <v>159</v>
      </c>
      <c r="J28" s="50">
        <v>51.6</v>
      </c>
      <c r="K28" s="50">
        <v>140</v>
      </c>
      <c r="L28" s="54">
        <f t="shared" si="0"/>
        <v>47.675480357248851</v>
      </c>
      <c r="M28" s="54">
        <f t="shared" si="1"/>
        <v>136.07548035724884</v>
      </c>
    </row>
    <row r="29" spans="2:13" ht="15.75">
      <c r="B29" s="111"/>
      <c r="C29" s="113"/>
      <c r="D29" s="113"/>
      <c r="E29" s="113"/>
      <c r="F29" s="6">
        <v>5</v>
      </c>
      <c r="G29" s="29" t="s">
        <v>64</v>
      </c>
      <c r="H29" s="51">
        <v>105.46018823099972</v>
      </c>
      <c r="I29" s="51"/>
      <c r="J29" s="50">
        <v>55.6</v>
      </c>
      <c r="K29" s="50">
        <v>136.19999999999999</v>
      </c>
      <c r="L29" s="54">
        <f t="shared" si="0"/>
        <v>-49.860188230999718</v>
      </c>
      <c r="M29" s="54">
        <f t="shared" si="1"/>
        <v>30.739811769000269</v>
      </c>
    </row>
    <row r="30" spans="2:13" ht="15.75">
      <c r="B30" s="111">
        <v>38</v>
      </c>
      <c r="C30" s="113" t="s">
        <v>193</v>
      </c>
      <c r="D30" s="113" t="s">
        <v>194</v>
      </c>
      <c r="E30" s="113" t="s">
        <v>192</v>
      </c>
      <c r="F30" s="6">
        <v>1</v>
      </c>
      <c r="G30" s="29" t="s">
        <v>75</v>
      </c>
      <c r="H30" s="51">
        <v>1.5975514059498066</v>
      </c>
      <c r="I30" s="51" t="s">
        <v>159</v>
      </c>
      <c r="J30" s="50">
        <v>34.659999999999997</v>
      </c>
      <c r="K30" s="50">
        <v>209.2</v>
      </c>
      <c r="L30" s="54">
        <f t="shared" si="0"/>
        <v>33.062448594050188</v>
      </c>
      <c r="M30" s="54">
        <f t="shared" si="1"/>
        <v>207.60244859405017</v>
      </c>
    </row>
    <row r="31" spans="2:13" ht="15.75">
      <c r="B31" s="111"/>
      <c r="C31" s="113"/>
      <c r="D31" s="113"/>
      <c r="E31" s="113"/>
      <c r="F31" s="6">
        <v>2</v>
      </c>
      <c r="G31" s="29" t="s">
        <v>76</v>
      </c>
      <c r="H31" s="51">
        <v>27.451436777354129</v>
      </c>
      <c r="I31" s="51" t="s">
        <v>160</v>
      </c>
      <c r="J31" s="50">
        <v>30</v>
      </c>
      <c r="K31" s="50">
        <v>183</v>
      </c>
      <c r="L31" s="54">
        <f t="shared" si="0"/>
        <v>2.5485632226458712</v>
      </c>
      <c r="M31" s="54">
        <f t="shared" si="1"/>
        <v>155.54856322264587</v>
      </c>
    </row>
    <row r="32" spans="2:13" ht="15.75">
      <c r="B32" s="111"/>
      <c r="C32" s="113"/>
      <c r="D32" s="113"/>
      <c r="E32" s="113"/>
      <c r="F32" s="6">
        <v>3</v>
      </c>
      <c r="G32" s="29" t="s">
        <v>63</v>
      </c>
      <c r="H32" s="51">
        <v>22.37539709393133</v>
      </c>
      <c r="I32" s="51" t="s">
        <v>161</v>
      </c>
      <c r="J32" s="50">
        <v>46.8</v>
      </c>
      <c r="K32" s="50">
        <v>294.2</v>
      </c>
      <c r="L32" s="54">
        <f t="shared" si="0"/>
        <v>24.424602906068667</v>
      </c>
      <c r="M32" s="54">
        <f t="shared" si="1"/>
        <v>271.82460290606866</v>
      </c>
    </row>
    <row r="33" spans="2:13" ht="15.75">
      <c r="B33" s="111"/>
      <c r="C33" s="113"/>
      <c r="D33" s="113"/>
      <c r="E33" s="113"/>
      <c r="F33" s="6">
        <v>4</v>
      </c>
      <c r="G33" s="29" t="s">
        <v>64</v>
      </c>
      <c r="H33" s="51">
        <v>13.061322256260018</v>
      </c>
      <c r="I33" s="51" t="s">
        <v>162</v>
      </c>
      <c r="J33" s="50">
        <v>28.4</v>
      </c>
      <c r="K33" s="50">
        <v>210.2</v>
      </c>
      <c r="L33" s="54">
        <f t="shared" si="0"/>
        <v>15.33867774373998</v>
      </c>
      <c r="M33" s="54">
        <f t="shared" si="1"/>
        <v>197.13867774373998</v>
      </c>
    </row>
    <row r="34" spans="2:13" ht="34.5" customHeight="1">
      <c r="B34" s="111"/>
      <c r="C34" s="113"/>
      <c r="D34" s="113"/>
      <c r="E34" s="113"/>
      <c r="F34" s="6">
        <v>5</v>
      </c>
      <c r="G34" s="30" t="s">
        <v>77</v>
      </c>
      <c r="H34" s="51">
        <v>9.7785240008984307</v>
      </c>
      <c r="I34" s="51" t="s">
        <v>159</v>
      </c>
      <c r="J34" s="50">
        <v>46.2</v>
      </c>
      <c r="K34" s="50">
        <v>179.6</v>
      </c>
      <c r="L34" s="54">
        <f t="shared" si="0"/>
        <v>36.421475999101574</v>
      </c>
      <c r="M34" s="54">
        <f t="shared" si="1"/>
        <v>169.82147599910155</v>
      </c>
    </row>
    <row r="35" spans="2:13" ht="15.75">
      <c r="B35" s="111">
        <v>41</v>
      </c>
      <c r="C35" s="113" t="s">
        <v>186</v>
      </c>
      <c r="D35" s="113" t="s">
        <v>194</v>
      </c>
      <c r="E35" s="113" t="s">
        <v>192</v>
      </c>
      <c r="F35" s="6">
        <v>1</v>
      </c>
      <c r="G35" s="29" t="s">
        <v>78</v>
      </c>
      <c r="H35" s="51">
        <v>103.72326238836274</v>
      </c>
      <c r="I35" s="51" t="s">
        <v>158</v>
      </c>
      <c r="J35" s="50">
        <v>81.8</v>
      </c>
      <c r="K35" s="50">
        <v>907.8</v>
      </c>
      <c r="L35" s="54">
        <f t="shared" si="0"/>
        <v>-21.923262388362744</v>
      </c>
      <c r="M35" s="54">
        <f t="shared" si="1"/>
        <v>804.07673761163721</v>
      </c>
    </row>
    <row r="36" spans="2:13" ht="15.75">
      <c r="B36" s="111"/>
      <c r="C36" s="113"/>
      <c r="D36" s="113"/>
      <c r="E36" s="113"/>
      <c r="F36" s="6">
        <v>2</v>
      </c>
      <c r="G36" s="29" t="s">
        <v>53</v>
      </c>
      <c r="H36" s="51">
        <v>116.22707835182101</v>
      </c>
      <c r="I36" s="51" t="s">
        <v>158</v>
      </c>
      <c r="J36" s="50">
        <v>98.4</v>
      </c>
      <c r="K36" s="50">
        <v>393.8</v>
      </c>
      <c r="L36" s="54">
        <f t="shared" si="0"/>
        <v>-17.827078351821001</v>
      </c>
      <c r="M36" s="54">
        <f t="shared" si="1"/>
        <v>277.57292164817898</v>
      </c>
    </row>
    <row r="37" spans="2:13" ht="15.75">
      <c r="B37" s="111"/>
      <c r="C37" s="113"/>
      <c r="D37" s="113"/>
      <c r="E37" s="113"/>
      <c r="F37" s="6">
        <v>3</v>
      </c>
      <c r="G37" s="29" t="s">
        <v>79</v>
      </c>
      <c r="H37" s="51">
        <v>35.307131006191845</v>
      </c>
      <c r="I37" s="51" t="s">
        <v>158</v>
      </c>
      <c r="J37" s="50">
        <v>63.8</v>
      </c>
      <c r="K37" s="50">
        <v>244.2</v>
      </c>
      <c r="L37" s="54">
        <f t="shared" si="0"/>
        <v>28.492868993808152</v>
      </c>
      <c r="M37" s="54">
        <f t="shared" si="1"/>
        <v>208.89286899380815</v>
      </c>
    </row>
    <row r="38" spans="2:13" ht="15.75">
      <c r="B38" s="111"/>
      <c r="C38" s="113"/>
      <c r="D38" s="113"/>
      <c r="E38" s="113"/>
      <c r="F38" s="6">
        <v>4</v>
      </c>
      <c r="G38" s="29" t="s">
        <v>80</v>
      </c>
      <c r="H38" s="51">
        <v>33.152451507810213</v>
      </c>
      <c r="I38" s="51" t="s">
        <v>160</v>
      </c>
      <c r="J38" s="50">
        <v>106.8</v>
      </c>
      <c r="K38" s="50">
        <v>395.8</v>
      </c>
      <c r="L38" s="54">
        <f t="shared" si="0"/>
        <v>73.647548492189784</v>
      </c>
      <c r="M38" s="54">
        <f t="shared" si="1"/>
        <v>362.6475484921898</v>
      </c>
    </row>
    <row r="39" spans="2:13" ht="15.75">
      <c r="B39" s="111"/>
      <c r="C39" s="113"/>
      <c r="D39" s="113"/>
      <c r="E39" s="113"/>
      <c r="F39" s="6">
        <v>5</v>
      </c>
      <c r="G39" s="29" t="s">
        <v>81</v>
      </c>
      <c r="H39" s="51">
        <v>36.567300255787849</v>
      </c>
      <c r="I39" s="51" t="s">
        <v>158</v>
      </c>
      <c r="J39" s="50">
        <v>109.2</v>
      </c>
      <c r="K39" s="50">
        <v>420.8</v>
      </c>
      <c r="L39" s="54">
        <f t="shared" si="0"/>
        <v>72.632699744212147</v>
      </c>
      <c r="M39" s="54">
        <f t="shared" si="1"/>
        <v>384.23269974421214</v>
      </c>
    </row>
    <row r="41" spans="2:13">
      <c r="E41" t="s">
        <v>111</v>
      </c>
    </row>
    <row r="42" spans="2:13">
      <c r="E42" t="s">
        <v>112</v>
      </c>
    </row>
    <row r="43" spans="2:13">
      <c r="E43" t="s">
        <v>113</v>
      </c>
    </row>
  </sheetData>
  <mergeCells count="40">
    <mergeCell ref="B30:B34"/>
    <mergeCell ref="C30:C34"/>
    <mergeCell ref="D30:D34"/>
    <mergeCell ref="B35:B39"/>
    <mergeCell ref="C35:C39"/>
    <mergeCell ref="D35:D39"/>
    <mergeCell ref="B20:B24"/>
    <mergeCell ref="C20:C24"/>
    <mergeCell ref="D20:D24"/>
    <mergeCell ref="B25:B29"/>
    <mergeCell ref="C25:C29"/>
    <mergeCell ref="D25:D29"/>
    <mergeCell ref="B10:B14"/>
    <mergeCell ref="C10:C14"/>
    <mergeCell ref="D10:D14"/>
    <mergeCell ref="B15:B19"/>
    <mergeCell ref="C15:C19"/>
    <mergeCell ref="D15:D19"/>
    <mergeCell ref="B3:B4"/>
    <mergeCell ref="C3:C4"/>
    <mergeCell ref="D3:D4"/>
    <mergeCell ref="B5:B9"/>
    <mergeCell ref="C5:C9"/>
    <mergeCell ref="D5:D9"/>
    <mergeCell ref="E3:E4"/>
    <mergeCell ref="F3:F4"/>
    <mergeCell ref="G3:G4"/>
    <mergeCell ref="H3:H4"/>
    <mergeCell ref="J3:J4"/>
    <mergeCell ref="K3:K4"/>
    <mergeCell ref="L3:M3"/>
    <mergeCell ref="I3:I4"/>
    <mergeCell ref="B2:M2"/>
    <mergeCell ref="E35:E39"/>
    <mergeCell ref="E5:E9"/>
    <mergeCell ref="E10:E14"/>
    <mergeCell ref="E15:E19"/>
    <mergeCell ref="E20:E24"/>
    <mergeCell ref="E25:E29"/>
    <mergeCell ref="E30:E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E7CB-D69B-4CB4-8643-13A2AF6618E9}">
  <sheetPr codeName="Lembar8"/>
  <dimension ref="B3:M44"/>
  <sheetViews>
    <sheetView workbookViewId="0">
      <selection activeCell="B4" sqref="B4:F40"/>
    </sheetView>
  </sheetViews>
  <sheetFormatPr defaultRowHeight="14.25"/>
  <cols>
    <col min="7" max="7" width="19.875" customWidth="1"/>
    <col min="8" max="13" width="15.25" customWidth="1"/>
  </cols>
  <sheetData>
    <row r="3" spans="2:13" ht="15.75">
      <c r="B3" s="126" t="s">
        <v>96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2:13" ht="15.75" customHeight="1">
      <c r="B4" s="125" t="s">
        <v>182</v>
      </c>
      <c r="C4" s="125" t="s">
        <v>181</v>
      </c>
      <c r="D4" s="125" t="s">
        <v>180</v>
      </c>
      <c r="E4" s="133" t="s">
        <v>179</v>
      </c>
      <c r="F4" s="134" t="s">
        <v>195</v>
      </c>
      <c r="G4" s="126" t="s">
        <v>51</v>
      </c>
      <c r="H4" s="128" t="s">
        <v>106</v>
      </c>
      <c r="I4" s="129" t="s">
        <v>172</v>
      </c>
      <c r="J4" s="128" t="s">
        <v>104</v>
      </c>
      <c r="K4" s="128" t="s">
        <v>105</v>
      </c>
      <c r="L4" s="127" t="s">
        <v>95</v>
      </c>
      <c r="M4" s="127"/>
    </row>
    <row r="5" spans="2:13" ht="37.5" customHeight="1">
      <c r="B5" s="125"/>
      <c r="C5" s="125"/>
      <c r="D5" s="125"/>
      <c r="E5" s="133"/>
      <c r="F5" s="134"/>
      <c r="G5" s="126"/>
      <c r="H5" s="128"/>
      <c r="I5" s="130"/>
      <c r="J5" s="128"/>
      <c r="K5" s="128"/>
      <c r="L5" s="131" t="s">
        <v>93</v>
      </c>
      <c r="M5" s="131" t="s">
        <v>94</v>
      </c>
    </row>
    <row r="6" spans="2:13" ht="15.75">
      <c r="B6" s="111">
        <v>1</v>
      </c>
      <c r="C6" s="113" t="s">
        <v>183</v>
      </c>
      <c r="D6" s="113" t="s">
        <v>184</v>
      </c>
      <c r="E6" s="113" t="s">
        <v>185</v>
      </c>
      <c r="F6" s="6">
        <v>1</v>
      </c>
      <c r="G6" s="29" t="s">
        <v>53</v>
      </c>
      <c r="H6" s="56">
        <v>89.243744101804126</v>
      </c>
      <c r="I6" s="6" t="s">
        <v>162</v>
      </c>
      <c r="J6" s="50">
        <v>32.6</v>
      </c>
      <c r="K6" s="50">
        <v>134</v>
      </c>
      <c r="L6" s="54">
        <f>J6-H6</f>
        <v>-56.643744101804124</v>
      </c>
      <c r="M6" s="54">
        <f>K6-H6</f>
        <v>44.756255898195874</v>
      </c>
    </row>
    <row r="7" spans="2:13" ht="15.75">
      <c r="B7" s="111"/>
      <c r="C7" s="113"/>
      <c r="D7" s="113"/>
      <c r="E7" s="113"/>
      <c r="F7" s="6">
        <v>2</v>
      </c>
      <c r="G7" s="29" t="s">
        <v>54</v>
      </c>
      <c r="H7" s="56">
        <v>81.755435737117551</v>
      </c>
      <c r="I7" s="6" t="s">
        <v>162</v>
      </c>
      <c r="J7" s="50">
        <v>54.6</v>
      </c>
      <c r="K7" s="50">
        <v>81.8</v>
      </c>
      <c r="L7" s="54">
        <f t="shared" ref="L7:L40" si="0">J7-H7</f>
        <v>-27.15543573711755</v>
      </c>
      <c r="M7" s="54">
        <f t="shared" ref="M7:M40" si="1">K7-H7</f>
        <v>4.456426288244586E-2</v>
      </c>
    </row>
    <row r="8" spans="2:13" ht="15.75">
      <c r="B8" s="111"/>
      <c r="C8" s="113"/>
      <c r="D8" s="113"/>
      <c r="E8" s="113"/>
      <c r="F8" s="6">
        <v>3</v>
      </c>
      <c r="G8" s="29" t="s">
        <v>55</v>
      </c>
      <c r="H8" s="56">
        <v>61.376789640683398</v>
      </c>
      <c r="I8" s="6" t="s">
        <v>162</v>
      </c>
      <c r="J8" s="50">
        <v>67</v>
      </c>
      <c r="K8" s="50">
        <v>148.19999999999999</v>
      </c>
      <c r="L8" s="54">
        <f t="shared" si="0"/>
        <v>5.6232103593166016</v>
      </c>
      <c r="M8" s="54">
        <f t="shared" si="1"/>
        <v>86.82321035931659</v>
      </c>
    </row>
    <row r="9" spans="2:13" ht="15.75">
      <c r="B9" s="111"/>
      <c r="C9" s="113"/>
      <c r="D9" s="113"/>
      <c r="E9" s="113"/>
      <c r="F9" s="6">
        <v>4</v>
      </c>
      <c r="G9" s="29" t="s">
        <v>56</v>
      </c>
      <c r="H9" s="56">
        <v>97.817907842464379</v>
      </c>
      <c r="I9" s="6" t="s">
        <v>162</v>
      </c>
      <c r="J9" s="50">
        <v>50.4</v>
      </c>
      <c r="K9" s="50">
        <v>264.2</v>
      </c>
      <c r="L9" s="54">
        <f t="shared" si="0"/>
        <v>-47.417907842464381</v>
      </c>
      <c r="M9" s="54">
        <f t="shared" si="1"/>
        <v>166.38209215753562</v>
      </c>
    </row>
    <row r="10" spans="2:13" ht="15.75">
      <c r="B10" s="111"/>
      <c r="C10" s="113"/>
      <c r="D10" s="113"/>
      <c r="E10" s="113"/>
      <c r="F10" s="6">
        <v>5</v>
      </c>
      <c r="G10" s="29" t="s">
        <v>57</v>
      </c>
      <c r="H10" s="56">
        <v>30.650076918712262</v>
      </c>
      <c r="I10" s="6" t="s">
        <v>159</v>
      </c>
      <c r="J10" s="50">
        <v>43</v>
      </c>
      <c r="K10" s="50">
        <v>68</v>
      </c>
      <c r="L10" s="54">
        <f t="shared" si="0"/>
        <v>12.349923081287738</v>
      </c>
      <c r="M10" s="54">
        <f t="shared" si="1"/>
        <v>37.349923081287741</v>
      </c>
    </row>
    <row r="11" spans="2:13" ht="15.75">
      <c r="B11" s="111">
        <v>7</v>
      </c>
      <c r="C11" s="113" t="s">
        <v>186</v>
      </c>
      <c r="D11" s="113" t="s">
        <v>187</v>
      </c>
      <c r="E11" s="113" t="s">
        <v>185</v>
      </c>
      <c r="F11" s="6">
        <v>1</v>
      </c>
      <c r="G11" s="29" t="s">
        <v>58</v>
      </c>
      <c r="H11" s="56">
        <v>303.04906038733162</v>
      </c>
      <c r="I11" s="6" t="s">
        <v>160</v>
      </c>
      <c r="J11" s="50">
        <v>147</v>
      </c>
      <c r="K11" s="50">
        <v>374</v>
      </c>
      <c r="L11" s="54">
        <f t="shared" si="0"/>
        <v>-156.04906038733162</v>
      </c>
      <c r="M11" s="54">
        <f t="shared" si="1"/>
        <v>70.950939612668378</v>
      </c>
    </row>
    <row r="12" spans="2:13" ht="15.75">
      <c r="B12" s="111"/>
      <c r="C12" s="113"/>
      <c r="D12" s="113"/>
      <c r="E12" s="113"/>
      <c r="F12" s="6">
        <v>2</v>
      </c>
      <c r="G12" s="29" t="s">
        <v>59</v>
      </c>
      <c r="H12" s="56">
        <v>34.24047969703345</v>
      </c>
      <c r="I12" s="6" t="s">
        <v>159</v>
      </c>
      <c r="J12" s="50">
        <v>61.8</v>
      </c>
      <c r="K12" s="50">
        <v>195.4</v>
      </c>
      <c r="L12" s="54">
        <f t="shared" si="0"/>
        <v>27.559520302966547</v>
      </c>
      <c r="M12" s="54">
        <f t="shared" si="1"/>
        <v>161.15952030296654</v>
      </c>
    </row>
    <row r="13" spans="2:13" ht="15.75">
      <c r="B13" s="111"/>
      <c r="C13" s="113"/>
      <c r="D13" s="113"/>
      <c r="E13" s="113"/>
      <c r="F13" s="6">
        <v>3</v>
      </c>
      <c r="G13" s="29" t="s">
        <v>60</v>
      </c>
      <c r="H13" s="56">
        <v>69.12461590494371</v>
      </c>
      <c r="I13" s="6" t="s">
        <v>162</v>
      </c>
      <c r="J13" s="50">
        <v>98.6</v>
      </c>
      <c r="K13" s="50">
        <v>241.4</v>
      </c>
      <c r="L13" s="54">
        <f t="shared" si="0"/>
        <v>29.475384095056285</v>
      </c>
      <c r="M13" s="54">
        <f t="shared" si="1"/>
        <v>172.2753840950563</v>
      </c>
    </row>
    <row r="14" spans="2:13" ht="15.75">
      <c r="B14" s="111"/>
      <c r="C14" s="113"/>
      <c r="D14" s="113"/>
      <c r="E14" s="113"/>
      <c r="F14" s="6">
        <v>4</v>
      </c>
      <c r="G14" s="29" t="s">
        <v>61</v>
      </c>
      <c r="H14" s="56">
        <v>33.38026643617728</v>
      </c>
      <c r="I14" s="6" t="s">
        <v>159</v>
      </c>
      <c r="J14" s="50">
        <v>7.4</v>
      </c>
      <c r="K14" s="50">
        <v>14.4</v>
      </c>
      <c r="L14" s="54">
        <f t="shared" si="0"/>
        <v>-25.980266436177281</v>
      </c>
      <c r="M14" s="54">
        <f t="shared" si="1"/>
        <v>-18.980266436177281</v>
      </c>
    </row>
    <row r="15" spans="2:13" ht="15.75">
      <c r="B15" s="111"/>
      <c r="C15" s="113"/>
      <c r="D15" s="113"/>
      <c r="E15" s="113"/>
      <c r="F15" s="6">
        <v>5</v>
      </c>
      <c r="G15" s="29" t="s">
        <v>62</v>
      </c>
      <c r="H15" s="56">
        <v>45.247769000073149</v>
      </c>
      <c r="I15" s="6" t="s">
        <v>162</v>
      </c>
      <c r="J15" s="50">
        <v>18.2</v>
      </c>
      <c r="K15" s="50">
        <v>85.8</v>
      </c>
      <c r="L15" s="54">
        <f t="shared" si="0"/>
        <v>-27.047769000073149</v>
      </c>
      <c r="M15" s="54">
        <f t="shared" si="1"/>
        <v>40.552230999926849</v>
      </c>
    </row>
    <row r="16" spans="2:13" ht="15.75">
      <c r="B16" s="111">
        <v>32</v>
      </c>
      <c r="C16" s="113" t="s">
        <v>188</v>
      </c>
      <c r="D16" s="113" t="s">
        <v>189</v>
      </c>
      <c r="E16" s="113" t="s">
        <v>190</v>
      </c>
      <c r="F16" s="6">
        <v>1</v>
      </c>
      <c r="G16" s="29" t="s">
        <v>63</v>
      </c>
      <c r="H16" s="56">
        <v>81.668315675385017</v>
      </c>
      <c r="I16" s="6" t="s">
        <v>162</v>
      </c>
      <c r="J16" s="50">
        <v>39.200000000000003</v>
      </c>
      <c r="K16" s="50">
        <v>206.6</v>
      </c>
      <c r="L16" s="54">
        <f t="shared" si="0"/>
        <v>-42.468315675385014</v>
      </c>
      <c r="M16" s="54">
        <f t="shared" si="1"/>
        <v>124.93168432461498</v>
      </c>
    </row>
    <row r="17" spans="2:13" ht="15.75">
      <c r="B17" s="111"/>
      <c r="C17" s="113"/>
      <c r="D17" s="113"/>
      <c r="E17" s="113"/>
      <c r="F17" s="6">
        <v>2</v>
      </c>
      <c r="G17" s="29" t="s">
        <v>53</v>
      </c>
      <c r="H17" s="56">
        <v>158.57763077472259</v>
      </c>
      <c r="I17" s="6" t="s">
        <v>161</v>
      </c>
      <c r="J17" s="50">
        <v>69.599999999999994</v>
      </c>
      <c r="K17" s="50">
        <v>221.8</v>
      </c>
      <c r="L17" s="54">
        <f t="shared" si="0"/>
        <v>-88.977630774722599</v>
      </c>
      <c r="M17" s="54">
        <f t="shared" si="1"/>
        <v>63.222369225277419</v>
      </c>
    </row>
    <row r="18" spans="2:13" ht="15.75">
      <c r="B18" s="111"/>
      <c r="C18" s="113"/>
      <c r="D18" s="113"/>
      <c r="E18" s="113"/>
      <c r="F18" s="6">
        <v>3</v>
      </c>
      <c r="G18" s="29" t="s">
        <v>64</v>
      </c>
      <c r="H18" s="56">
        <v>72.052085427400627</v>
      </c>
      <c r="I18" s="6" t="s">
        <v>162</v>
      </c>
      <c r="J18" s="50">
        <v>22.6</v>
      </c>
      <c r="K18" s="50">
        <v>75.400000000000006</v>
      </c>
      <c r="L18" s="54">
        <f t="shared" si="0"/>
        <v>-49.452085427400625</v>
      </c>
      <c r="M18" s="54">
        <f t="shared" si="1"/>
        <v>3.3479145725993789</v>
      </c>
    </row>
    <row r="19" spans="2:13" ht="37.5" customHeight="1">
      <c r="B19" s="111"/>
      <c r="C19" s="113"/>
      <c r="D19" s="113"/>
      <c r="E19" s="113"/>
      <c r="F19" s="6">
        <v>4</v>
      </c>
      <c r="G19" s="30" t="s">
        <v>66</v>
      </c>
      <c r="H19" s="56">
        <v>154.16344961221003</v>
      </c>
      <c r="I19" s="6" t="s">
        <v>161</v>
      </c>
      <c r="J19" s="50">
        <v>15</v>
      </c>
      <c r="K19" s="50">
        <v>24.4</v>
      </c>
      <c r="L19" s="54">
        <f t="shared" si="0"/>
        <v>-139.16344961221003</v>
      </c>
      <c r="M19" s="54">
        <f t="shared" si="1"/>
        <v>-129.76344961221002</v>
      </c>
    </row>
    <row r="20" spans="2:13" ht="51" customHeight="1">
      <c r="B20" s="111"/>
      <c r="C20" s="113"/>
      <c r="D20" s="113"/>
      <c r="E20" s="113"/>
      <c r="F20" s="6">
        <v>5</v>
      </c>
      <c r="G20" s="30" t="s">
        <v>68</v>
      </c>
      <c r="H20" s="56">
        <v>87.369431197496937</v>
      </c>
      <c r="I20" s="6" t="s">
        <v>162</v>
      </c>
      <c r="J20" s="50">
        <v>11.2</v>
      </c>
      <c r="K20" s="50">
        <v>32.799999999999997</v>
      </c>
      <c r="L20" s="54">
        <f t="shared" si="0"/>
        <v>-76.169431197496934</v>
      </c>
      <c r="M20" s="54">
        <f t="shared" si="1"/>
        <v>-54.569431197496939</v>
      </c>
    </row>
    <row r="21" spans="2:13" ht="15.75">
      <c r="B21" s="111">
        <v>36</v>
      </c>
      <c r="C21" s="113" t="s">
        <v>186</v>
      </c>
      <c r="D21" s="113" t="s">
        <v>191</v>
      </c>
      <c r="E21" s="113" t="s">
        <v>192</v>
      </c>
      <c r="F21" s="6">
        <v>1</v>
      </c>
      <c r="G21" s="29" t="s">
        <v>69</v>
      </c>
      <c r="H21" s="56">
        <v>109.98354255152121</v>
      </c>
      <c r="I21" s="6" t="s">
        <v>162</v>
      </c>
      <c r="J21" s="50">
        <v>52.4</v>
      </c>
      <c r="K21" s="50">
        <v>86.6</v>
      </c>
      <c r="L21" s="54">
        <f t="shared" si="0"/>
        <v>-57.583542551521212</v>
      </c>
      <c r="M21" s="54">
        <f t="shared" si="1"/>
        <v>-23.383542551521217</v>
      </c>
    </row>
    <row r="22" spans="2:13" ht="15.75">
      <c r="B22" s="111"/>
      <c r="C22" s="113"/>
      <c r="D22" s="113"/>
      <c r="E22" s="113"/>
      <c r="F22" s="6">
        <v>2</v>
      </c>
      <c r="G22" s="29" t="s">
        <v>53</v>
      </c>
      <c r="H22" s="56">
        <v>246.96566344307757</v>
      </c>
      <c r="I22" s="6" t="s">
        <v>160</v>
      </c>
      <c r="J22" s="50">
        <v>34.4</v>
      </c>
      <c r="K22" s="50">
        <v>71.599999999999994</v>
      </c>
      <c r="L22" s="54">
        <f t="shared" si="0"/>
        <v>-212.56566344307757</v>
      </c>
      <c r="M22" s="54">
        <f t="shared" si="1"/>
        <v>-175.36566344307758</v>
      </c>
    </row>
    <row r="23" spans="2:13" ht="15.75">
      <c r="B23" s="111"/>
      <c r="C23" s="113"/>
      <c r="D23" s="113"/>
      <c r="E23" s="113"/>
      <c r="F23" s="6">
        <v>3</v>
      </c>
      <c r="G23" s="29" t="s">
        <v>63</v>
      </c>
      <c r="H23" s="56">
        <v>79.194020229188325</v>
      </c>
      <c r="I23" s="6" t="s">
        <v>162</v>
      </c>
      <c r="J23" s="50">
        <v>55.4</v>
      </c>
      <c r="K23" s="50">
        <v>107</v>
      </c>
      <c r="L23" s="54">
        <f t="shared" si="0"/>
        <v>-23.794020229188327</v>
      </c>
      <c r="M23" s="54">
        <f t="shared" si="1"/>
        <v>27.805979770811675</v>
      </c>
    </row>
    <row r="24" spans="2:13" ht="15.75">
      <c r="B24" s="111"/>
      <c r="C24" s="113"/>
      <c r="D24" s="113"/>
      <c r="E24" s="113"/>
      <c r="F24" s="6">
        <v>4</v>
      </c>
      <c r="G24" s="29" t="s">
        <v>70</v>
      </c>
      <c r="H24" s="56">
        <v>204.41778077062051</v>
      </c>
      <c r="I24" s="6" t="s">
        <v>161</v>
      </c>
      <c r="J24" s="50">
        <v>46.4</v>
      </c>
      <c r="K24" s="50">
        <v>86.2</v>
      </c>
      <c r="L24" s="54">
        <f t="shared" si="0"/>
        <v>-158.0177807706205</v>
      </c>
      <c r="M24" s="54">
        <f t="shared" si="1"/>
        <v>-118.21778077062051</v>
      </c>
    </row>
    <row r="25" spans="2:13" ht="36.75" customHeight="1">
      <c r="B25" s="111"/>
      <c r="C25" s="113"/>
      <c r="D25" s="113"/>
      <c r="E25" s="113"/>
      <c r="F25" s="6">
        <v>5</v>
      </c>
      <c r="G25" s="30" t="s">
        <v>71</v>
      </c>
      <c r="H25" s="56">
        <v>179.4600264134958</v>
      </c>
      <c r="I25" s="6" t="s">
        <v>161</v>
      </c>
      <c r="J25" s="50">
        <v>109.6</v>
      </c>
      <c r="K25" s="50">
        <v>409</v>
      </c>
      <c r="L25" s="54">
        <f t="shared" si="0"/>
        <v>-69.860026413495802</v>
      </c>
      <c r="M25" s="54">
        <f t="shared" si="1"/>
        <v>229.5399735865042</v>
      </c>
    </row>
    <row r="26" spans="2:13" ht="15.75">
      <c r="B26" s="111">
        <v>37</v>
      </c>
      <c r="C26" s="113" t="s">
        <v>193</v>
      </c>
      <c r="D26" s="113" t="s">
        <v>194</v>
      </c>
      <c r="E26" s="113" t="s">
        <v>192</v>
      </c>
      <c r="F26" s="6">
        <v>1</v>
      </c>
      <c r="G26" s="29" t="s">
        <v>53</v>
      </c>
      <c r="H26" s="56">
        <v>69.038302587577334</v>
      </c>
      <c r="I26" s="6" t="s">
        <v>162</v>
      </c>
      <c r="J26" s="50">
        <v>80.400000000000006</v>
      </c>
      <c r="K26" s="50">
        <v>205.2</v>
      </c>
      <c r="L26" s="54">
        <f t="shared" si="0"/>
        <v>11.361697412422672</v>
      </c>
      <c r="M26" s="54">
        <f t="shared" si="1"/>
        <v>136.16169741242265</v>
      </c>
    </row>
    <row r="27" spans="2:13" ht="15.75">
      <c r="B27" s="111"/>
      <c r="C27" s="113"/>
      <c r="D27" s="113"/>
      <c r="E27" s="113"/>
      <c r="F27" s="6">
        <v>2</v>
      </c>
      <c r="G27" s="29" t="s">
        <v>63</v>
      </c>
      <c r="H27" s="56">
        <v>131.52956902499275</v>
      </c>
      <c r="I27" s="6" t="s">
        <v>161</v>
      </c>
      <c r="J27" s="50">
        <v>43</v>
      </c>
      <c r="K27" s="50">
        <v>179.8</v>
      </c>
      <c r="L27" s="54">
        <f t="shared" si="0"/>
        <v>-88.529569024992753</v>
      </c>
      <c r="M27" s="54">
        <f t="shared" si="1"/>
        <v>48.270430975007258</v>
      </c>
    </row>
    <row r="28" spans="2:13" ht="15.75">
      <c r="B28" s="111"/>
      <c r="C28" s="113"/>
      <c r="D28" s="113"/>
      <c r="E28" s="113"/>
      <c r="F28" s="6">
        <v>3</v>
      </c>
      <c r="G28" s="29" t="s">
        <v>55</v>
      </c>
      <c r="H28" s="56">
        <v>109.74204767701407</v>
      </c>
      <c r="I28" s="6" t="s">
        <v>162</v>
      </c>
      <c r="J28" s="50">
        <v>116</v>
      </c>
      <c r="K28" s="50">
        <v>176</v>
      </c>
      <c r="L28" s="54">
        <f t="shared" si="0"/>
        <v>6.2579523229859291</v>
      </c>
      <c r="M28" s="54">
        <f t="shared" si="1"/>
        <v>66.257952322985929</v>
      </c>
    </row>
    <row r="29" spans="2:13" ht="15.75">
      <c r="B29" s="111"/>
      <c r="C29" s="113"/>
      <c r="D29" s="113"/>
      <c r="E29" s="113"/>
      <c r="F29" s="6">
        <v>4</v>
      </c>
      <c r="G29" s="29" t="s">
        <v>73</v>
      </c>
      <c r="H29" s="56">
        <v>76.704537097184144</v>
      </c>
      <c r="I29" s="6" t="s">
        <v>162</v>
      </c>
      <c r="J29" s="50">
        <v>69.2</v>
      </c>
      <c r="K29" s="50">
        <v>133.19999999999999</v>
      </c>
      <c r="L29" s="54">
        <f t="shared" si="0"/>
        <v>-7.5045370971841407</v>
      </c>
      <c r="M29" s="54">
        <f t="shared" si="1"/>
        <v>56.495462902815845</v>
      </c>
    </row>
    <row r="30" spans="2:13" ht="15.75">
      <c r="B30" s="111"/>
      <c r="C30" s="113"/>
      <c r="D30" s="113"/>
      <c r="E30" s="113"/>
      <c r="F30" s="6">
        <v>5</v>
      </c>
      <c r="G30" s="29" t="s">
        <v>64</v>
      </c>
      <c r="H30" s="56">
        <v>24.066066428510428</v>
      </c>
      <c r="I30" s="6" t="s">
        <v>159</v>
      </c>
      <c r="J30" s="50">
        <v>82.2</v>
      </c>
      <c r="K30" s="50">
        <v>129</v>
      </c>
      <c r="L30" s="54">
        <f t="shared" si="0"/>
        <v>58.133933571489578</v>
      </c>
      <c r="M30" s="54">
        <f t="shared" si="1"/>
        <v>104.93393357148958</v>
      </c>
    </row>
    <row r="31" spans="2:13" ht="15.75">
      <c r="B31" s="111">
        <v>38</v>
      </c>
      <c r="C31" s="113" t="s">
        <v>193</v>
      </c>
      <c r="D31" s="113" t="s">
        <v>194</v>
      </c>
      <c r="E31" s="113" t="s">
        <v>192</v>
      </c>
      <c r="F31" s="6">
        <v>1</v>
      </c>
      <c r="G31" s="29" t="s">
        <v>75</v>
      </c>
      <c r="H31" s="56">
        <v>163.0534662983535</v>
      </c>
      <c r="I31" s="6" t="s">
        <v>161</v>
      </c>
      <c r="J31" s="50">
        <v>55</v>
      </c>
      <c r="K31" s="50">
        <v>202.4</v>
      </c>
      <c r="L31" s="54">
        <f t="shared" si="0"/>
        <v>-108.0534662983535</v>
      </c>
      <c r="M31" s="54">
        <f t="shared" si="1"/>
        <v>39.346533701646507</v>
      </c>
    </row>
    <row r="32" spans="2:13" ht="15.75">
      <c r="B32" s="111"/>
      <c r="C32" s="113"/>
      <c r="D32" s="113"/>
      <c r="E32" s="113"/>
      <c r="F32" s="6">
        <v>2</v>
      </c>
      <c r="G32" s="29" t="s">
        <v>76</v>
      </c>
      <c r="H32" s="56">
        <v>154.01237480625218</v>
      </c>
      <c r="I32" s="6" t="s">
        <v>161</v>
      </c>
      <c r="J32" s="50">
        <v>52.2</v>
      </c>
      <c r="K32" s="50">
        <v>16.600000000000001</v>
      </c>
      <c r="L32" s="54">
        <f t="shared" si="0"/>
        <v>-101.81237480625218</v>
      </c>
      <c r="M32" s="54">
        <f t="shared" si="1"/>
        <v>-137.41237480625219</v>
      </c>
    </row>
    <row r="33" spans="2:13" ht="15.75">
      <c r="B33" s="111"/>
      <c r="C33" s="113"/>
      <c r="D33" s="113"/>
      <c r="E33" s="113"/>
      <c r="F33" s="6">
        <v>3</v>
      </c>
      <c r="G33" s="29" t="s">
        <v>63</v>
      </c>
      <c r="H33" s="56">
        <v>244.1898292173374</v>
      </c>
      <c r="I33" s="6" t="s">
        <v>160</v>
      </c>
      <c r="J33" s="50">
        <v>86.8</v>
      </c>
      <c r="K33" s="50">
        <v>288.39999999999998</v>
      </c>
      <c r="L33" s="54">
        <f t="shared" si="0"/>
        <v>-157.38982921733742</v>
      </c>
      <c r="M33" s="54">
        <f t="shared" si="1"/>
        <v>44.210170782662573</v>
      </c>
    </row>
    <row r="34" spans="2:13" ht="15.75">
      <c r="B34" s="111"/>
      <c r="C34" s="113"/>
      <c r="D34" s="113"/>
      <c r="E34" s="113"/>
      <c r="F34" s="6">
        <v>4</v>
      </c>
      <c r="G34" s="29" t="s">
        <v>64</v>
      </c>
      <c r="H34" s="56">
        <v>165.76044621737799</v>
      </c>
      <c r="I34" s="6" t="s">
        <v>161</v>
      </c>
      <c r="J34" s="50">
        <v>54.4</v>
      </c>
      <c r="K34" s="50">
        <v>203.8</v>
      </c>
      <c r="L34" s="54">
        <f t="shared" si="0"/>
        <v>-111.36044621737798</v>
      </c>
      <c r="M34" s="54">
        <f t="shared" si="1"/>
        <v>38.039553782622022</v>
      </c>
    </row>
    <row r="35" spans="2:13" ht="34.5" customHeight="1">
      <c r="B35" s="111"/>
      <c r="C35" s="113"/>
      <c r="D35" s="113"/>
      <c r="E35" s="113"/>
      <c r="F35" s="6">
        <v>5</v>
      </c>
      <c r="G35" s="30" t="s">
        <v>77</v>
      </c>
      <c r="H35" s="56">
        <v>90.491522675102516</v>
      </c>
      <c r="I35" s="6" t="s">
        <v>162</v>
      </c>
      <c r="J35" s="50">
        <v>61.2</v>
      </c>
      <c r="K35" s="50">
        <v>173.2</v>
      </c>
      <c r="L35" s="54">
        <f t="shared" si="0"/>
        <v>-29.291522675102513</v>
      </c>
      <c r="M35" s="54">
        <f t="shared" si="1"/>
        <v>82.708477324897473</v>
      </c>
    </row>
    <row r="36" spans="2:13" ht="15.75">
      <c r="B36" s="111">
        <v>41</v>
      </c>
      <c r="C36" s="113" t="s">
        <v>186</v>
      </c>
      <c r="D36" s="113" t="s">
        <v>194</v>
      </c>
      <c r="E36" s="113" t="s">
        <v>192</v>
      </c>
      <c r="F36" s="6">
        <v>1</v>
      </c>
      <c r="G36" s="29" t="s">
        <v>78</v>
      </c>
      <c r="H36" s="56">
        <v>213.09360789829674</v>
      </c>
      <c r="I36" s="6" t="s">
        <v>161</v>
      </c>
      <c r="J36" s="50">
        <v>140.6</v>
      </c>
      <c r="K36" s="50">
        <v>902.8</v>
      </c>
      <c r="L36" s="54">
        <f t="shared" si="0"/>
        <v>-72.493607898296744</v>
      </c>
      <c r="M36" s="54">
        <f t="shared" si="1"/>
        <v>689.70639210170316</v>
      </c>
    </row>
    <row r="37" spans="2:13" ht="15.75">
      <c r="B37" s="111"/>
      <c r="C37" s="113"/>
      <c r="D37" s="113"/>
      <c r="E37" s="113"/>
      <c r="F37" s="6">
        <v>2</v>
      </c>
      <c r="G37" s="29" t="s">
        <v>53</v>
      </c>
      <c r="H37" s="56">
        <v>255.18227990744353</v>
      </c>
      <c r="I37" s="6" t="s">
        <v>160</v>
      </c>
      <c r="J37" s="50">
        <v>115.8</v>
      </c>
      <c r="K37" s="50">
        <v>388.8</v>
      </c>
      <c r="L37" s="54">
        <f t="shared" si="0"/>
        <v>-139.38227990744355</v>
      </c>
      <c r="M37" s="54">
        <f t="shared" si="1"/>
        <v>133.61772009255648</v>
      </c>
    </row>
    <row r="38" spans="2:13" ht="15.75">
      <c r="B38" s="111"/>
      <c r="C38" s="113"/>
      <c r="D38" s="113"/>
      <c r="E38" s="113"/>
      <c r="F38" s="6">
        <v>3</v>
      </c>
      <c r="G38" s="29" t="s">
        <v>79</v>
      </c>
      <c r="H38" s="56">
        <v>119.31387181514879</v>
      </c>
      <c r="I38" s="6" t="s">
        <v>161</v>
      </c>
      <c r="J38" s="50">
        <v>80</v>
      </c>
      <c r="K38" s="50">
        <v>704</v>
      </c>
      <c r="L38" s="54">
        <f t="shared" si="0"/>
        <v>-39.313871815148786</v>
      </c>
      <c r="M38" s="54">
        <f t="shared" si="1"/>
        <v>584.68612818485121</v>
      </c>
    </row>
    <row r="39" spans="2:13" ht="15.75">
      <c r="B39" s="111"/>
      <c r="C39" s="113"/>
      <c r="D39" s="113"/>
      <c r="E39" s="113"/>
      <c r="F39" s="6">
        <v>4</v>
      </c>
      <c r="G39" s="29" t="s">
        <v>80</v>
      </c>
      <c r="H39" s="56">
        <v>109.72080046084768</v>
      </c>
      <c r="I39" s="6" t="s">
        <v>162</v>
      </c>
      <c r="J39" s="50">
        <v>164.4</v>
      </c>
      <c r="K39" s="50">
        <v>371.2</v>
      </c>
      <c r="L39" s="54">
        <f t="shared" si="0"/>
        <v>54.679199539152322</v>
      </c>
      <c r="M39" s="54">
        <f t="shared" si="1"/>
        <v>261.47919953915232</v>
      </c>
    </row>
    <row r="40" spans="2:13" ht="15.75">
      <c r="B40" s="111"/>
      <c r="C40" s="113"/>
      <c r="D40" s="113"/>
      <c r="E40" s="113"/>
      <c r="F40" s="6">
        <v>5</v>
      </c>
      <c r="G40" s="29" t="s">
        <v>81</v>
      </c>
      <c r="H40" s="56">
        <v>249.22194626643733</v>
      </c>
      <c r="I40" s="6" t="s">
        <v>160</v>
      </c>
      <c r="J40" s="50">
        <v>177.2</v>
      </c>
      <c r="K40" s="50">
        <v>415.8</v>
      </c>
      <c r="L40" s="54">
        <f t="shared" si="0"/>
        <v>-72.02194626643734</v>
      </c>
      <c r="M40" s="54">
        <f t="shared" si="1"/>
        <v>166.57805373356268</v>
      </c>
    </row>
    <row r="41" spans="2:13">
      <c r="M41" s="59"/>
    </row>
    <row r="42" spans="2:13">
      <c r="F42" t="s">
        <v>111</v>
      </c>
    </row>
    <row r="43" spans="2:13">
      <c r="F43" t="s">
        <v>112</v>
      </c>
    </row>
    <row r="44" spans="2:13">
      <c r="F44" t="s">
        <v>113</v>
      </c>
    </row>
  </sheetData>
  <mergeCells count="40">
    <mergeCell ref="B31:B35"/>
    <mergeCell ref="C31:C35"/>
    <mergeCell ref="D31:D35"/>
    <mergeCell ref="B36:B40"/>
    <mergeCell ref="C36:C40"/>
    <mergeCell ref="D36:D40"/>
    <mergeCell ref="B21:B25"/>
    <mergeCell ref="C21:C25"/>
    <mergeCell ref="D21:D25"/>
    <mergeCell ref="B26:B30"/>
    <mergeCell ref="C26:C30"/>
    <mergeCell ref="D26:D30"/>
    <mergeCell ref="B11:B15"/>
    <mergeCell ref="C11:C15"/>
    <mergeCell ref="D11:D15"/>
    <mergeCell ref="B16:B20"/>
    <mergeCell ref="C16:C20"/>
    <mergeCell ref="D16:D20"/>
    <mergeCell ref="B4:B5"/>
    <mergeCell ref="C4:C5"/>
    <mergeCell ref="D4:D5"/>
    <mergeCell ref="B6:B10"/>
    <mergeCell ref="C6:C10"/>
    <mergeCell ref="D6:D10"/>
    <mergeCell ref="E4:E5"/>
    <mergeCell ref="F4:F5"/>
    <mergeCell ref="G4:G5"/>
    <mergeCell ref="H4:H5"/>
    <mergeCell ref="J4:J5"/>
    <mergeCell ref="K4:K5"/>
    <mergeCell ref="L4:M4"/>
    <mergeCell ref="I4:I5"/>
    <mergeCell ref="B3:M3"/>
    <mergeCell ref="E36:E40"/>
    <mergeCell ref="E6:E10"/>
    <mergeCell ref="E11:E15"/>
    <mergeCell ref="E16:E20"/>
    <mergeCell ref="E21:E25"/>
    <mergeCell ref="E26:E30"/>
    <mergeCell ref="E31:E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609C-F7BA-43A3-8A1D-2D92F71CEFFE}">
  <dimension ref="B1:Y51"/>
  <sheetViews>
    <sheetView workbookViewId="0">
      <selection activeCell="B4" sqref="B4:F5"/>
    </sheetView>
  </sheetViews>
  <sheetFormatPr defaultRowHeight="14.25"/>
  <cols>
    <col min="7" max="7" width="34.375" customWidth="1"/>
    <col min="25" max="25" width="21.625" customWidth="1"/>
  </cols>
  <sheetData>
    <row r="1" spans="2:25">
      <c r="D1" t="s">
        <v>115</v>
      </c>
    </row>
    <row r="3" spans="2:25" ht="15">
      <c r="B3" s="115" t="s">
        <v>116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</row>
    <row r="4" spans="2:25" ht="15.75" customHeight="1">
      <c r="B4" s="125" t="s">
        <v>182</v>
      </c>
      <c r="C4" s="125" t="s">
        <v>181</v>
      </c>
      <c r="D4" s="125" t="s">
        <v>180</v>
      </c>
      <c r="E4" s="133" t="s">
        <v>179</v>
      </c>
      <c r="F4" s="134" t="s">
        <v>195</v>
      </c>
      <c r="G4" s="116" t="s">
        <v>51</v>
      </c>
      <c r="H4" s="116" t="s">
        <v>117</v>
      </c>
      <c r="I4" s="116"/>
      <c r="J4" s="116"/>
      <c r="K4" s="116"/>
      <c r="L4" s="116" t="s">
        <v>118</v>
      </c>
      <c r="M4" s="116"/>
      <c r="N4" s="116"/>
      <c r="O4" s="116"/>
      <c r="P4" s="116" t="s">
        <v>119</v>
      </c>
      <c r="Q4" s="116"/>
      <c r="R4" s="116"/>
      <c r="S4" s="116"/>
      <c r="T4" s="116"/>
      <c r="U4" s="117" t="s">
        <v>120</v>
      </c>
      <c r="V4" s="114" t="s">
        <v>153</v>
      </c>
      <c r="W4" s="114"/>
      <c r="X4" s="114"/>
      <c r="Y4" s="124" t="s">
        <v>168</v>
      </c>
    </row>
    <row r="5" spans="2:25" ht="15.75">
      <c r="B5" s="125"/>
      <c r="C5" s="125"/>
      <c r="D5" s="125"/>
      <c r="E5" s="133"/>
      <c r="F5" s="134"/>
      <c r="G5" s="116"/>
      <c r="H5" s="60" t="s">
        <v>121</v>
      </c>
      <c r="I5" s="60" t="s">
        <v>122</v>
      </c>
      <c r="J5" s="60" t="s">
        <v>123</v>
      </c>
      <c r="K5" s="60" t="s">
        <v>124</v>
      </c>
      <c r="L5" s="60" t="s">
        <v>121</v>
      </c>
      <c r="M5" s="60" t="s">
        <v>125</v>
      </c>
      <c r="N5" s="60" t="s">
        <v>123</v>
      </c>
      <c r="O5" s="60" t="s">
        <v>126</v>
      </c>
      <c r="P5" s="60" t="s">
        <v>121</v>
      </c>
      <c r="Q5" s="60" t="s">
        <v>127</v>
      </c>
      <c r="R5" s="60" t="s">
        <v>128</v>
      </c>
      <c r="S5" s="60" t="s">
        <v>129</v>
      </c>
      <c r="T5" s="60" t="s">
        <v>130</v>
      </c>
      <c r="U5" s="117"/>
      <c r="V5" s="74" t="s">
        <v>169</v>
      </c>
      <c r="W5" s="74" t="s">
        <v>170</v>
      </c>
      <c r="X5" s="74" t="s">
        <v>171</v>
      </c>
      <c r="Y5" s="124"/>
    </row>
    <row r="6" spans="2:25" ht="15.75">
      <c r="B6" s="111">
        <v>1</v>
      </c>
      <c r="C6" s="113" t="s">
        <v>183</v>
      </c>
      <c r="D6" s="113" t="s">
        <v>184</v>
      </c>
      <c r="E6" s="113" t="s">
        <v>185</v>
      </c>
      <c r="F6" s="6">
        <v>1</v>
      </c>
      <c r="G6" s="29" t="s">
        <v>53</v>
      </c>
      <c r="H6" s="10">
        <v>28.07</v>
      </c>
      <c r="I6" s="10">
        <v>28.65</v>
      </c>
      <c r="J6" s="10">
        <f>I6-H6</f>
        <v>0.57999999999999829</v>
      </c>
      <c r="K6" s="61">
        <f>J6/U6*100</f>
        <v>6.157112526539259</v>
      </c>
      <c r="L6" s="62">
        <v>8.6395999999999997</v>
      </c>
      <c r="M6" s="62">
        <v>8.8605999999999998</v>
      </c>
      <c r="N6" s="62">
        <f>M6-L6</f>
        <v>0.22100000000000009</v>
      </c>
      <c r="O6" s="63">
        <f>((40*(N6-R6))/U6)*100</f>
        <v>17.197452229299255</v>
      </c>
      <c r="P6" s="64">
        <v>13.8977</v>
      </c>
      <c r="Q6" s="64">
        <v>14.078200000000001</v>
      </c>
      <c r="R6" s="64">
        <f>Q6-P6</f>
        <v>0.18050000000000033</v>
      </c>
      <c r="S6" s="63">
        <f>((40*R6)/U6)*100</f>
        <v>76.64543524416149</v>
      </c>
      <c r="T6" s="65">
        <f>K6+O6+S6</f>
        <v>100</v>
      </c>
      <c r="U6" s="31">
        <f>40*N6+J6</f>
        <v>9.4200000000000017</v>
      </c>
      <c r="V6" s="75">
        <v>6.157112526539259</v>
      </c>
      <c r="W6" s="75">
        <v>17.197452229299255</v>
      </c>
      <c r="X6" s="75">
        <v>76.64543524416149</v>
      </c>
      <c r="Y6" s="75" t="s">
        <v>163</v>
      </c>
    </row>
    <row r="7" spans="2:25" ht="15.75">
      <c r="B7" s="111"/>
      <c r="C7" s="113"/>
      <c r="D7" s="113"/>
      <c r="E7" s="113"/>
      <c r="F7" s="6">
        <v>2</v>
      </c>
      <c r="G7" s="29" t="s">
        <v>54</v>
      </c>
      <c r="H7" s="10">
        <v>28.7</v>
      </c>
      <c r="I7" s="10">
        <v>29.37</v>
      </c>
      <c r="J7" s="10">
        <f t="shared" ref="J7:J40" si="0">I7-H7</f>
        <v>0.67000000000000171</v>
      </c>
      <c r="K7" s="61">
        <f t="shared" ref="K7:K40" si="1">(J7/U7)*100</f>
        <v>7.3288120761321478</v>
      </c>
      <c r="L7" s="62">
        <v>8.6359999999999992</v>
      </c>
      <c r="M7" s="62">
        <v>8.8477999999999994</v>
      </c>
      <c r="N7" s="62">
        <f t="shared" ref="N7:N40" si="2">M7-L7</f>
        <v>0.21180000000000021</v>
      </c>
      <c r="O7" s="63">
        <f t="shared" ref="O7:O40" si="3">((40*(N7-R7))/U7)*100</f>
        <v>28.833953183110527</v>
      </c>
      <c r="P7" s="64">
        <v>15.1206</v>
      </c>
      <c r="Q7" s="64">
        <v>15.266500000000001</v>
      </c>
      <c r="R7" s="64">
        <f t="shared" ref="R7:R40" si="4">Q7-P7</f>
        <v>0.14590000000000103</v>
      </c>
      <c r="S7" s="63">
        <f t="shared" ref="S7:S40" si="5">((40*R7)/U7)*100</f>
        <v>63.837234740757317</v>
      </c>
      <c r="T7" s="65">
        <f t="shared" ref="T7:T40" si="6">K7+O7+S7</f>
        <v>100</v>
      </c>
      <c r="U7" s="31">
        <f t="shared" ref="U7:U40" si="7">40*N7+J7</f>
        <v>9.1420000000000101</v>
      </c>
      <c r="V7" s="75">
        <v>7.3288120761321478</v>
      </c>
      <c r="W7" s="75">
        <v>28.833953183110527</v>
      </c>
      <c r="X7" s="75">
        <v>63.837234740757317</v>
      </c>
      <c r="Y7" s="75" t="s">
        <v>163</v>
      </c>
    </row>
    <row r="8" spans="2:25" ht="15.75">
      <c r="B8" s="111"/>
      <c r="C8" s="113"/>
      <c r="D8" s="113"/>
      <c r="E8" s="113"/>
      <c r="F8" s="6">
        <v>3</v>
      </c>
      <c r="G8" s="29" t="s">
        <v>55</v>
      </c>
      <c r="H8" s="10">
        <v>22.72</v>
      </c>
      <c r="I8" s="10">
        <v>23.45</v>
      </c>
      <c r="J8" s="10">
        <f t="shared" si="0"/>
        <v>0.73000000000000043</v>
      </c>
      <c r="K8" s="61">
        <f t="shared" si="1"/>
        <v>7.8108281617804209</v>
      </c>
      <c r="L8" s="62">
        <v>11.204499999999999</v>
      </c>
      <c r="M8" s="62">
        <v>11.4199</v>
      </c>
      <c r="N8" s="62">
        <f t="shared" si="2"/>
        <v>0.2154000000000007</v>
      </c>
      <c r="O8" s="63">
        <f t="shared" si="3"/>
        <v>1.4123689278833316</v>
      </c>
      <c r="P8" s="64">
        <v>15.1206</v>
      </c>
      <c r="Q8" s="64">
        <v>15.332700000000001</v>
      </c>
      <c r="R8" s="64">
        <f t="shared" si="4"/>
        <v>0.21210000000000129</v>
      </c>
      <c r="S8" s="63">
        <f t="shared" si="5"/>
        <v>90.776802910336258</v>
      </c>
      <c r="T8" s="65">
        <f t="shared" si="6"/>
        <v>100.00000000000001</v>
      </c>
      <c r="U8" s="31">
        <f t="shared" si="7"/>
        <v>9.3460000000000285</v>
      </c>
      <c r="V8" s="75">
        <v>7.8108281617804209</v>
      </c>
      <c r="W8" s="75">
        <v>1.4123689278833316</v>
      </c>
      <c r="X8" s="75">
        <v>90.776802910336258</v>
      </c>
      <c r="Y8" s="75" t="s">
        <v>163</v>
      </c>
    </row>
    <row r="9" spans="2:25" ht="15.75">
      <c r="B9" s="111"/>
      <c r="C9" s="113"/>
      <c r="D9" s="113"/>
      <c r="E9" s="113"/>
      <c r="F9" s="6">
        <v>4</v>
      </c>
      <c r="G9" s="29" t="s">
        <v>56</v>
      </c>
      <c r="H9" s="10">
        <v>18.559999999999999</v>
      </c>
      <c r="I9" s="10">
        <v>19.3</v>
      </c>
      <c r="J9" s="10">
        <f t="shared" si="0"/>
        <v>0.74000000000000199</v>
      </c>
      <c r="K9" s="61">
        <f t="shared" si="1"/>
        <v>8.5174953959484334</v>
      </c>
      <c r="L9" s="62">
        <v>12.936</v>
      </c>
      <c r="M9" s="62">
        <v>13.1347</v>
      </c>
      <c r="N9" s="62">
        <f t="shared" si="2"/>
        <v>0.19870000000000054</v>
      </c>
      <c r="O9" s="63">
        <f t="shared" si="3"/>
        <v>38.029465930018823</v>
      </c>
      <c r="P9" s="64">
        <v>14.494</v>
      </c>
      <c r="Q9" s="64">
        <v>14.610099999999999</v>
      </c>
      <c r="R9" s="64">
        <f t="shared" si="4"/>
        <v>0.11609999999999943</v>
      </c>
      <c r="S9" s="63">
        <f t="shared" si="5"/>
        <v>53.45303867403274</v>
      </c>
      <c r="T9" s="65">
        <f t="shared" si="6"/>
        <v>100</v>
      </c>
      <c r="U9" s="31">
        <f t="shared" si="7"/>
        <v>8.6880000000000237</v>
      </c>
      <c r="V9" s="75">
        <v>8.5174953959484334</v>
      </c>
      <c r="W9" s="75">
        <v>38.029465930018823</v>
      </c>
      <c r="X9" s="75">
        <v>53.45303867403274</v>
      </c>
      <c r="Y9" s="75" t="s">
        <v>163</v>
      </c>
    </row>
    <row r="10" spans="2:25" ht="15.75">
      <c r="B10" s="111"/>
      <c r="C10" s="113"/>
      <c r="D10" s="113"/>
      <c r="E10" s="113"/>
      <c r="F10" s="6">
        <v>5</v>
      </c>
      <c r="G10" s="29" t="s">
        <v>57</v>
      </c>
      <c r="H10" s="10">
        <v>34.71</v>
      </c>
      <c r="I10" s="10">
        <v>38.33</v>
      </c>
      <c r="J10" s="10">
        <f t="shared" si="0"/>
        <v>3.6199999999999974</v>
      </c>
      <c r="K10" s="61">
        <f t="shared" si="1"/>
        <v>39.245446660884575</v>
      </c>
      <c r="L10" s="62">
        <v>13.3796</v>
      </c>
      <c r="M10" s="62">
        <v>13.5197</v>
      </c>
      <c r="N10" s="62">
        <f t="shared" si="2"/>
        <v>0.14010000000000034</v>
      </c>
      <c r="O10" s="63">
        <f t="shared" si="3"/>
        <v>58.022549869904886</v>
      </c>
      <c r="P10" s="64">
        <v>13.9351</v>
      </c>
      <c r="Q10" s="64">
        <v>13.9414</v>
      </c>
      <c r="R10" s="64">
        <f t="shared" si="4"/>
        <v>6.2999999999995282E-3</v>
      </c>
      <c r="S10" s="63">
        <f t="shared" si="5"/>
        <v>2.7320034692105466</v>
      </c>
      <c r="T10" s="65">
        <f t="shared" si="6"/>
        <v>100</v>
      </c>
      <c r="U10" s="31">
        <f t="shared" si="7"/>
        <v>9.2240000000000109</v>
      </c>
      <c r="V10" s="75">
        <v>39.245446660884575</v>
      </c>
      <c r="W10" s="75">
        <v>58.022549869904886</v>
      </c>
      <c r="X10" s="75">
        <v>2.7320034692105466</v>
      </c>
      <c r="Y10" s="75" t="s">
        <v>164</v>
      </c>
    </row>
    <row r="11" spans="2:25" ht="15.75">
      <c r="B11" s="111">
        <v>7</v>
      </c>
      <c r="C11" s="113" t="s">
        <v>186</v>
      </c>
      <c r="D11" s="113" t="s">
        <v>187</v>
      </c>
      <c r="E11" s="113" t="s">
        <v>185</v>
      </c>
      <c r="F11" s="6">
        <v>1</v>
      </c>
      <c r="G11" s="29" t="s">
        <v>58</v>
      </c>
      <c r="H11" s="10">
        <v>41.04</v>
      </c>
      <c r="I11" s="10">
        <v>41.89</v>
      </c>
      <c r="J11" s="10">
        <f t="shared" si="0"/>
        <v>0.85000000000000142</v>
      </c>
      <c r="K11" s="61">
        <f t="shared" si="1"/>
        <v>9.0099639601441428</v>
      </c>
      <c r="L11" s="62">
        <v>14.0459</v>
      </c>
      <c r="M11" s="62">
        <v>14.2605</v>
      </c>
      <c r="N11" s="62">
        <f t="shared" si="2"/>
        <v>0.21460000000000079</v>
      </c>
      <c r="O11" s="63">
        <f t="shared" si="3"/>
        <v>43.883824464702144</v>
      </c>
      <c r="P11" s="64">
        <v>15.0502</v>
      </c>
      <c r="Q11" s="64">
        <v>15.161300000000001</v>
      </c>
      <c r="R11" s="64">
        <f t="shared" si="4"/>
        <v>0.11110000000000042</v>
      </c>
      <c r="S11" s="63">
        <f t="shared" si="5"/>
        <v>47.106211575153708</v>
      </c>
      <c r="T11" s="65">
        <f t="shared" si="6"/>
        <v>100</v>
      </c>
      <c r="U11" s="31">
        <f t="shared" si="7"/>
        <v>9.434000000000033</v>
      </c>
      <c r="V11" s="75">
        <v>9.0099639601441428</v>
      </c>
      <c r="W11" s="75">
        <v>43.883824464702144</v>
      </c>
      <c r="X11" s="75">
        <v>47.106211575153708</v>
      </c>
      <c r="Y11" s="75" t="s">
        <v>165</v>
      </c>
    </row>
    <row r="12" spans="2:25" ht="15.75">
      <c r="B12" s="111"/>
      <c r="C12" s="113"/>
      <c r="D12" s="113"/>
      <c r="E12" s="113"/>
      <c r="F12" s="6">
        <v>2</v>
      </c>
      <c r="G12" s="29" t="s">
        <v>59</v>
      </c>
      <c r="H12" s="10">
        <v>27.43</v>
      </c>
      <c r="I12" s="10">
        <v>28.12</v>
      </c>
      <c r="J12" s="10">
        <f t="shared" si="0"/>
        <v>0.69000000000000128</v>
      </c>
      <c r="K12" s="61">
        <f t="shared" si="1"/>
        <v>7.4659164682968902</v>
      </c>
      <c r="L12" s="62">
        <v>12.555</v>
      </c>
      <c r="M12" s="62">
        <v>12.768800000000001</v>
      </c>
      <c r="N12" s="62">
        <f t="shared" si="2"/>
        <v>0.21380000000000088</v>
      </c>
      <c r="O12" s="63">
        <f t="shared" si="3"/>
        <v>53.105388444060296</v>
      </c>
      <c r="P12" s="64">
        <v>14.229900000000001</v>
      </c>
      <c r="Q12" s="64">
        <v>14.321</v>
      </c>
      <c r="R12" s="64">
        <f t="shared" si="4"/>
        <v>9.1099999999999071E-2</v>
      </c>
      <c r="S12" s="63">
        <f t="shared" si="5"/>
        <v>39.428695087642815</v>
      </c>
      <c r="T12" s="65">
        <f t="shared" si="6"/>
        <v>100</v>
      </c>
      <c r="U12" s="31">
        <f t="shared" si="7"/>
        <v>9.2420000000000364</v>
      </c>
      <c r="V12" s="75">
        <v>7.4659164682968902</v>
      </c>
      <c r="W12" s="75">
        <v>53.105388444060296</v>
      </c>
      <c r="X12" s="75">
        <v>39.428695087642815</v>
      </c>
      <c r="Y12" s="75" t="s">
        <v>166</v>
      </c>
    </row>
    <row r="13" spans="2:25" ht="15.75">
      <c r="B13" s="111"/>
      <c r="C13" s="113"/>
      <c r="D13" s="113"/>
      <c r="E13" s="113"/>
      <c r="F13" s="6">
        <v>3</v>
      </c>
      <c r="G13" s="29" t="s">
        <v>60</v>
      </c>
      <c r="H13" s="10">
        <v>40.619999999999997</v>
      </c>
      <c r="I13" s="10">
        <v>41.26</v>
      </c>
      <c r="J13" s="10">
        <f t="shared" si="0"/>
        <v>0.64000000000000057</v>
      </c>
      <c r="K13" s="61">
        <f t="shared" si="1"/>
        <v>6.7911714770797564</v>
      </c>
      <c r="L13" s="62">
        <v>8.6473999999999993</v>
      </c>
      <c r="M13" s="62">
        <v>8.8670000000000009</v>
      </c>
      <c r="N13" s="62">
        <f t="shared" si="2"/>
        <v>0.21960000000000157</v>
      </c>
      <c r="O13" s="63">
        <f t="shared" si="3"/>
        <v>41.298811544992247</v>
      </c>
      <c r="P13" s="64">
        <v>12.755000000000001</v>
      </c>
      <c r="Q13" s="64">
        <v>12.8773</v>
      </c>
      <c r="R13" s="64">
        <f t="shared" si="4"/>
        <v>0.12229999999999919</v>
      </c>
      <c r="S13" s="63">
        <f t="shared" si="5"/>
        <v>51.910016977927995</v>
      </c>
      <c r="T13" s="65">
        <f t="shared" si="6"/>
        <v>100</v>
      </c>
      <c r="U13" s="31">
        <f t="shared" si="7"/>
        <v>9.4240000000000634</v>
      </c>
      <c r="V13" s="75">
        <v>6.7911714770797564</v>
      </c>
      <c r="W13" s="75">
        <v>41.298811544992247</v>
      </c>
      <c r="X13" s="75">
        <v>51.910016977927995</v>
      </c>
      <c r="Y13" s="75" t="s">
        <v>165</v>
      </c>
    </row>
    <row r="14" spans="2:25" ht="15.75">
      <c r="B14" s="111"/>
      <c r="C14" s="113"/>
      <c r="D14" s="113"/>
      <c r="E14" s="113"/>
      <c r="F14" s="6">
        <v>4</v>
      </c>
      <c r="G14" s="66" t="s">
        <v>61</v>
      </c>
      <c r="H14" s="10">
        <v>33.39</v>
      </c>
      <c r="I14" s="10">
        <v>33.89</v>
      </c>
      <c r="J14" s="10">
        <f t="shared" si="0"/>
        <v>0.5</v>
      </c>
      <c r="K14" s="61">
        <f t="shared" si="1"/>
        <v>5.4945054945054981</v>
      </c>
      <c r="L14" s="62">
        <v>10.839700000000001</v>
      </c>
      <c r="M14" s="62">
        <v>11.0547</v>
      </c>
      <c r="N14" s="62">
        <f t="shared" si="2"/>
        <v>0.21499999999999986</v>
      </c>
      <c r="O14" s="63">
        <f t="shared" si="3"/>
        <v>46.857142857142215</v>
      </c>
      <c r="P14" s="67">
        <v>14.771599999999999</v>
      </c>
      <c r="Q14" s="64">
        <v>14.88</v>
      </c>
      <c r="R14" s="64">
        <f t="shared" si="4"/>
        <v>0.10840000000000138</v>
      </c>
      <c r="S14" s="63">
        <f t="shared" si="5"/>
        <v>47.648351648352289</v>
      </c>
      <c r="T14" s="65">
        <f t="shared" si="6"/>
        <v>100</v>
      </c>
      <c r="U14" s="50">
        <f t="shared" si="7"/>
        <v>9.0999999999999943</v>
      </c>
      <c r="V14" s="75">
        <v>5.4945054945054981</v>
      </c>
      <c r="W14" s="75">
        <v>46.857142857142215</v>
      </c>
      <c r="X14" s="75">
        <v>47.648351648352289</v>
      </c>
      <c r="Y14" s="75" t="s">
        <v>165</v>
      </c>
    </row>
    <row r="15" spans="2:25" ht="15.75">
      <c r="B15" s="111"/>
      <c r="C15" s="113"/>
      <c r="D15" s="113"/>
      <c r="E15" s="113"/>
      <c r="F15" s="6">
        <v>5</v>
      </c>
      <c r="G15" s="29" t="s">
        <v>62</v>
      </c>
      <c r="H15" s="10">
        <v>40.92</v>
      </c>
      <c r="I15" s="10">
        <v>41.59</v>
      </c>
      <c r="J15" s="10">
        <f t="shared" si="0"/>
        <v>0.67000000000000171</v>
      </c>
      <c r="K15" s="61">
        <f t="shared" si="1"/>
        <v>7.4460991331406658</v>
      </c>
      <c r="L15" s="62">
        <v>11.206099999999999</v>
      </c>
      <c r="M15" s="62">
        <v>11.414300000000001</v>
      </c>
      <c r="N15" s="62">
        <f t="shared" si="2"/>
        <v>0.20820000000000149</v>
      </c>
      <c r="O15" s="63">
        <f t="shared" si="3"/>
        <v>28.806401422538919</v>
      </c>
      <c r="P15" s="64">
        <v>14.037599999999999</v>
      </c>
      <c r="Q15" s="64">
        <v>14.180999999999999</v>
      </c>
      <c r="R15" s="64">
        <f t="shared" si="4"/>
        <v>0.14339999999999975</v>
      </c>
      <c r="S15" s="63">
        <f t="shared" si="5"/>
        <v>63.747499444320411</v>
      </c>
      <c r="T15" s="65">
        <f t="shared" si="6"/>
        <v>100</v>
      </c>
      <c r="U15" s="31">
        <f t="shared" si="7"/>
        <v>8.9980000000000615</v>
      </c>
      <c r="V15" s="75">
        <v>7.4460991331406658</v>
      </c>
      <c r="W15" s="75">
        <v>28.806401422538919</v>
      </c>
      <c r="X15" s="75">
        <v>63.747499444320411</v>
      </c>
      <c r="Y15" s="75" t="s">
        <v>163</v>
      </c>
    </row>
    <row r="16" spans="2:25" ht="15.75">
      <c r="B16" s="111">
        <v>32</v>
      </c>
      <c r="C16" s="113" t="s">
        <v>188</v>
      </c>
      <c r="D16" s="113" t="s">
        <v>189</v>
      </c>
      <c r="E16" s="113" t="s">
        <v>190</v>
      </c>
      <c r="F16" s="6">
        <v>1</v>
      </c>
      <c r="G16" s="29" t="s">
        <v>63</v>
      </c>
      <c r="H16" s="10">
        <v>38.369999999999997</v>
      </c>
      <c r="I16" s="10">
        <v>40.159999999999997</v>
      </c>
      <c r="J16" s="10">
        <f t="shared" si="0"/>
        <v>1.7899999999999991</v>
      </c>
      <c r="K16" s="61">
        <f t="shared" si="1"/>
        <v>20.017893088794381</v>
      </c>
      <c r="L16" s="62">
        <v>10.1701</v>
      </c>
      <c r="M16" s="62">
        <v>10.3489</v>
      </c>
      <c r="N16" s="62">
        <f t="shared" si="2"/>
        <v>0.17880000000000074</v>
      </c>
      <c r="O16" s="63">
        <f t="shared" si="3"/>
        <v>30.015656452695815</v>
      </c>
      <c r="P16" s="64">
        <v>8.4944000000000006</v>
      </c>
      <c r="Q16" s="64">
        <v>8.6060999999999996</v>
      </c>
      <c r="R16" s="64">
        <f t="shared" si="4"/>
        <v>0.11169999999999902</v>
      </c>
      <c r="S16" s="63">
        <f t="shared" si="5"/>
        <v>49.966450458509804</v>
      </c>
      <c r="T16" s="65">
        <f t="shared" si="6"/>
        <v>100</v>
      </c>
      <c r="U16" s="31">
        <f t="shared" si="7"/>
        <v>8.9420000000000286</v>
      </c>
      <c r="V16" s="75">
        <v>20.017893088794381</v>
      </c>
      <c r="W16" s="75">
        <v>30.015656452695815</v>
      </c>
      <c r="X16" s="75">
        <v>49.966450458509804</v>
      </c>
      <c r="Y16" s="75" t="s">
        <v>163</v>
      </c>
    </row>
    <row r="17" spans="2:25" ht="15.75">
      <c r="B17" s="111"/>
      <c r="C17" s="113"/>
      <c r="D17" s="113"/>
      <c r="E17" s="113"/>
      <c r="F17" s="6">
        <v>2</v>
      </c>
      <c r="G17" s="29" t="s">
        <v>53</v>
      </c>
      <c r="H17" s="10">
        <v>41.6</v>
      </c>
      <c r="I17" s="10">
        <v>43.3</v>
      </c>
      <c r="J17" s="10">
        <f t="shared" si="0"/>
        <v>1.6999999999999957</v>
      </c>
      <c r="K17" s="61">
        <f t="shared" si="1"/>
        <v>18.35853131749456</v>
      </c>
      <c r="L17" s="62">
        <v>9.6334</v>
      </c>
      <c r="M17" s="62">
        <v>9.8224</v>
      </c>
      <c r="N17" s="62">
        <f t="shared" si="2"/>
        <v>0.18900000000000006</v>
      </c>
      <c r="O17" s="63">
        <f t="shared" si="3"/>
        <v>28.984881209503989</v>
      </c>
      <c r="P17" s="64">
        <v>14.277100000000001</v>
      </c>
      <c r="Q17" s="64">
        <v>14.398999999999999</v>
      </c>
      <c r="R17" s="64">
        <f t="shared" si="4"/>
        <v>0.12189999999999834</v>
      </c>
      <c r="S17" s="63">
        <f t="shared" si="5"/>
        <v>52.656587473001458</v>
      </c>
      <c r="T17" s="65">
        <f t="shared" si="6"/>
        <v>100</v>
      </c>
      <c r="U17" s="31">
        <f t="shared" si="7"/>
        <v>9.259999999999998</v>
      </c>
      <c r="V17" s="75">
        <v>18.35853131749456</v>
      </c>
      <c r="W17" s="75">
        <v>28.984881209503989</v>
      </c>
      <c r="X17" s="75">
        <v>52.656587473001458</v>
      </c>
      <c r="Y17" s="75" t="s">
        <v>163</v>
      </c>
    </row>
    <row r="18" spans="2:25" ht="15.75">
      <c r="B18" s="111"/>
      <c r="C18" s="113"/>
      <c r="D18" s="113"/>
      <c r="E18" s="113"/>
      <c r="F18" s="6">
        <v>3</v>
      </c>
      <c r="G18" s="29" t="s">
        <v>64</v>
      </c>
      <c r="H18" s="10">
        <v>28.2</v>
      </c>
      <c r="I18" s="10">
        <v>29.57</v>
      </c>
      <c r="J18" s="10">
        <f t="shared" si="0"/>
        <v>1.370000000000001</v>
      </c>
      <c r="K18" s="61">
        <f t="shared" si="1"/>
        <v>15.151515151515238</v>
      </c>
      <c r="L18" s="62">
        <v>14.0486</v>
      </c>
      <c r="M18" s="62">
        <v>14.240399999999999</v>
      </c>
      <c r="N18" s="62">
        <f t="shared" si="2"/>
        <v>0.19179999999999886</v>
      </c>
      <c r="O18" s="63">
        <f t="shared" si="3"/>
        <v>33.620880336208408</v>
      </c>
      <c r="P18" s="64">
        <v>12.6058</v>
      </c>
      <c r="Q18" s="64">
        <v>12.7216</v>
      </c>
      <c r="R18" s="64">
        <f t="shared" si="4"/>
        <v>0.11580000000000013</v>
      </c>
      <c r="S18" s="63">
        <f t="shared" si="5"/>
        <v>51.227604512276351</v>
      </c>
      <c r="T18" s="65">
        <f t="shared" si="6"/>
        <v>100</v>
      </c>
      <c r="U18" s="31">
        <f t="shared" si="7"/>
        <v>9.0419999999999554</v>
      </c>
      <c r="V18" s="75">
        <v>15.151515151515238</v>
      </c>
      <c r="W18" s="75">
        <v>33.620880336208408</v>
      </c>
      <c r="X18" s="75">
        <v>51.227604512276351</v>
      </c>
      <c r="Y18" s="75" t="s">
        <v>163</v>
      </c>
    </row>
    <row r="19" spans="2:25" ht="31.5">
      <c r="B19" s="111"/>
      <c r="C19" s="113"/>
      <c r="D19" s="113"/>
      <c r="E19" s="113"/>
      <c r="F19" s="6">
        <v>4</v>
      </c>
      <c r="G19" s="30" t="s">
        <v>66</v>
      </c>
      <c r="H19" s="10">
        <v>20.54</v>
      </c>
      <c r="I19" s="10">
        <v>21.51</v>
      </c>
      <c r="J19" s="10">
        <f t="shared" si="0"/>
        <v>0.97000000000000242</v>
      </c>
      <c r="K19" s="61">
        <f t="shared" si="1"/>
        <v>11.425206124852856</v>
      </c>
      <c r="L19" s="62">
        <v>10.6271</v>
      </c>
      <c r="M19" s="62">
        <v>10.815099999999999</v>
      </c>
      <c r="N19" s="62">
        <f t="shared" si="2"/>
        <v>0.18799999999999883</v>
      </c>
      <c r="O19" s="63">
        <f t="shared" si="3"/>
        <v>68.833922261483877</v>
      </c>
      <c r="P19" s="64">
        <v>12.0952</v>
      </c>
      <c r="Q19" s="64">
        <v>12.1371</v>
      </c>
      <c r="R19" s="64">
        <f t="shared" si="4"/>
        <v>4.1900000000000048E-2</v>
      </c>
      <c r="S19" s="63">
        <f t="shared" si="5"/>
        <v>19.740871613663259</v>
      </c>
      <c r="T19" s="65">
        <f t="shared" si="6"/>
        <v>99.999999999999986</v>
      </c>
      <c r="U19" s="31">
        <f t="shared" si="7"/>
        <v>8.4899999999999558</v>
      </c>
      <c r="V19" s="75">
        <v>11.425206124852856</v>
      </c>
      <c r="W19" s="75">
        <v>68.833922261483877</v>
      </c>
      <c r="X19" s="75">
        <v>19.740871613663259</v>
      </c>
      <c r="Y19" s="75" t="s">
        <v>164</v>
      </c>
    </row>
    <row r="20" spans="2:25" ht="31.5">
      <c r="B20" s="111"/>
      <c r="C20" s="113"/>
      <c r="D20" s="113"/>
      <c r="E20" s="113"/>
      <c r="F20" s="6">
        <v>5</v>
      </c>
      <c r="G20" s="30" t="s">
        <v>68</v>
      </c>
      <c r="H20" s="10">
        <v>42.52</v>
      </c>
      <c r="I20" s="10">
        <v>43.92</v>
      </c>
      <c r="J20" s="10">
        <f t="shared" si="0"/>
        <v>1.3999999999999986</v>
      </c>
      <c r="K20" s="61">
        <f t="shared" si="1"/>
        <v>16.4165103189493</v>
      </c>
      <c r="L20" s="62">
        <v>11.5703</v>
      </c>
      <c r="M20" s="62">
        <v>11.7485</v>
      </c>
      <c r="N20" s="62">
        <f t="shared" si="2"/>
        <v>0.17820000000000036</v>
      </c>
      <c r="O20" s="63">
        <f t="shared" si="3"/>
        <v>39.493433395872799</v>
      </c>
      <c r="P20" s="64">
        <v>15.0723</v>
      </c>
      <c r="Q20" s="64">
        <v>15.1663</v>
      </c>
      <c r="R20" s="64">
        <f t="shared" si="4"/>
        <v>9.3999999999999417E-2</v>
      </c>
      <c r="S20" s="63">
        <f t="shared" si="5"/>
        <v>44.090056285177894</v>
      </c>
      <c r="T20" s="65">
        <f t="shared" si="6"/>
        <v>100</v>
      </c>
      <c r="U20" s="31">
        <f t="shared" si="7"/>
        <v>8.5280000000000129</v>
      </c>
      <c r="V20" s="75">
        <v>16.4165103189493</v>
      </c>
      <c r="W20" s="75">
        <v>39.493433395872799</v>
      </c>
      <c r="X20" s="75">
        <v>44.090056285177894</v>
      </c>
      <c r="Y20" s="75" t="s">
        <v>163</v>
      </c>
    </row>
    <row r="21" spans="2:25" ht="15.75">
      <c r="B21" s="111">
        <v>36</v>
      </c>
      <c r="C21" s="113" t="s">
        <v>186</v>
      </c>
      <c r="D21" s="113" t="s">
        <v>191</v>
      </c>
      <c r="E21" s="113" t="s">
        <v>192</v>
      </c>
      <c r="F21" s="6">
        <v>1</v>
      </c>
      <c r="G21" s="29" t="s">
        <v>69</v>
      </c>
      <c r="H21" s="10">
        <v>26.94</v>
      </c>
      <c r="I21" s="10">
        <v>27.84</v>
      </c>
      <c r="J21" s="10">
        <f t="shared" si="0"/>
        <v>0.89999999999999858</v>
      </c>
      <c r="K21" s="61">
        <f t="shared" si="1"/>
        <v>10.678690080683504</v>
      </c>
      <c r="L21" s="62">
        <v>12.494300000000001</v>
      </c>
      <c r="M21" s="62">
        <v>12.682499999999999</v>
      </c>
      <c r="N21" s="62">
        <f t="shared" si="2"/>
        <v>0.18819999999999837</v>
      </c>
      <c r="O21" s="63">
        <f t="shared" si="3"/>
        <v>14.807783578547026</v>
      </c>
      <c r="P21" s="64">
        <v>14.224600000000001</v>
      </c>
      <c r="Q21" s="64">
        <v>14.381600000000001</v>
      </c>
      <c r="R21" s="64">
        <f t="shared" si="4"/>
        <v>0.15700000000000003</v>
      </c>
      <c r="S21" s="63">
        <f t="shared" si="5"/>
        <v>74.513526340769459</v>
      </c>
      <c r="T21" s="65">
        <f t="shared" si="6"/>
        <v>99.999999999999986</v>
      </c>
      <c r="U21" s="31">
        <f t="shared" si="7"/>
        <v>8.4279999999999333</v>
      </c>
      <c r="V21" s="75">
        <v>10.678690080683504</v>
      </c>
      <c r="W21" s="75">
        <v>14.807783578547026</v>
      </c>
      <c r="X21" s="75">
        <v>74.513526340769459</v>
      </c>
      <c r="Y21" s="75" t="s">
        <v>163</v>
      </c>
    </row>
    <row r="22" spans="2:25" ht="15.75">
      <c r="B22" s="111"/>
      <c r="C22" s="113"/>
      <c r="D22" s="113"/>
      <c r="E22" s="113"/>
      <c r="F22" s="6">
        <v>2</v>
      </c>
      <c r="G22" s="29" t="s">
        <v>53</v>
      </c>
      <c r="H22" s="10">
        <v>24.94</v>
      </c>
      <c r="I22" s="10">
        <v>26.07</v>
      </c>
      <c r="J22" s="10">
        <f t="shared" si="0"/>
        <v>1.129999999999999</v>
      </c>
      <c r="K22" s="61">
        <f t="shared" si="1"/>
        <v>12.94387170675822</v>
      </c>
      <c r="L22" s="62">
        <v>15.358499999999999</v>
      </c>
      <c r="M22" s="62">
        <v>15.548500000000001</v>
      </c>
      <c r="N22" s="62">
        <f t="shared" si="2"/>
        <v>0.19000000000000128</v>
      </c>
      <c r="O22" s="63">
        <f t="shared" si="3"/>
        <v>18.281786941581995</v>
      </c>
      <c r="P22" s="64">
        <v>14.239000000000001</v>
      </c>
      <c r="Q22" s="64">
        <v>14.389099999999999</v>
      </c>
      <c r="R22" s="64">
        <f t="shared" si="4"/>
        <v>0.15009999999999835</v>
      </c>
      <c r="S22" s="63">
        <f t="shared" si="5"/>
        <v>68.774341351659785</v>
      </c>
      <c r="T22" s="65">
        <f t="shared" si="6"/>
        <v>100</v>
      </c>
      <c r="U22" s="31">
        <f t="shared" si="7"/>
        <v>8.7300000000000502</v>
      </c>
      <c r="V22" s="75">
        <v>12.94387170675822</v>
      </c>
      <c r="W22" s="75">
        <v>18.281786941581995</v>
      </c>
      <c r="X22" s="75">
        <v>68.774341351659785</v>
      </c>
      <c r="Y22" s="75" t="s">
        <v>163</v>
      </c>
    </row>
    <row r="23" spans="2:25" ht="15.75">
      <c r="B23" s="111"/>
      <c r="C23" s="113"/>
      <c r="D23" s="113"/>
      <c r="E23" s="113"/>
      <c r="F23" s="6">
        <v>3</v>
      </c>
      <c r="G23" s="29" t="s">
        <v>63</v>
      </c>
      <c r="H23" s="10">
        <v>43.89</v>
      </c>
      <c r="I23" s="10">
        <v>44.65</v>
      </c>
      <c r="J23" s="10">
        <f t="shared" si="0"/>
        <v>0.75999999999999801</v>
      </c>
      <c r="K23" s="61">
        <f t="shared" si="1"/>
        <v>8.2358040745556629</v>
      </c>
      <c r="L23" s="62">
        <v>13.9894</v>
      </c>
      <c r="M23" s="62">
        <v>14.2011</v>
      </c>
      <c r="N23" s="62">
        <f t="shared" si="2"/>
        <v>0.21170000000000044</v>
      </c>
      <c r="O23" s="63">
        <f t="shared" si="3"/>
        <v>16.775032509753071</v>
      </c>
      <c r="P23" s="64">
        <v>15.5609</v>
      </c>
      <c r="Q23" s="64">
        <v>15.7339</v>
      </c>
      <c r="R23" s="64">
        <f t="shared" si="4"/>
        <v>0.17300000000000004</v>
      </c>
      <c r="S23" s="63">
        <f t="shared" si="5"/>
        <v>74.989163415691266</v>
      </c>
      <c r="T23" s="65">
        <f t="shared" si="6"/>
        <v>100</v>
      </c>
      <c r="U23" s="31">
        <f t="shared" si="7"/>
        <v>9.2280000000000157</v>
      </c>
      <c r="V23" s="75">
        <v>8.2358040745556629</v>
      </c>
      <c r="W23" s="75">
        <v>16.775032509753071</v>
      </c>
      <c r="X23" s="75">
        <v>74.989163415691266</v>
      </c>
      <c r="Y23" s="75" t="s">
        <v>163</v>
      </c>
    </row>
    <row r="24" spans="2:25" ht="15.75">
      <c r="B24" s="111"/>
      <c r="C24" s="113"/>
      <c r="D24" s="113"/>
      <c r="E24" s="113"/>
      <c r="F24" s="6">
        <v>4</v>
      </c>
      <c r="G24" s="29" t="s">
        <v>70</v>
      </c>
      <c r="H24" s="10">
        <v>41.17</v>
      </c>
      <c r="I24" s="10">
        <v>41.76</v>
      </c>
      <c r="J24" s="10">
        <f t="shared" si="0"/>
        <v>0.58999999999999631</v>
      </c>
      <c r="K24" s="61">
        <f t="shared" si="1"/>
        <v>6.9789448781641381</v>
      </c>
      <c r="L24" s="62">
        <v>15.028</v>
      </c>
      <c r="M24" s="62">
        <v>15.224600000000001</v>
      </c>
      <c r="N24" s="62">
        <f t="shared" si="2"/>
        <v>0.19660000000000011</v>
      </c>
      <c r="O24" s="63">
        <f t="shared" si="3"/>
        <v>7.7123255263777208</v>
      </c>
      <c r="P24" s="64">
        <v>10.579599999999999</v>
      </c>
      <c r="Q24" s="64">
        <v>10.7599</v>
      </c>
      <c r="R24" s="64">
        <f t="shared" si="4"/>
        <v>0.18030000000000079</v>
      </c>
      <c r="S24" s="63">
        <f t="shared" si="5"/>
        <v>85.308729595458146</v>
      </c>
      <c r="T24" s="65">
        <f t="shared" si="6"/>
        <v>100</v>
      </c>
      <c r="U24" s="31">
        <f t="shared" si="7"/>
        <v>8.4540000000000006</v>
      </c>
      <c r="V24" s="75">
        <v>6.9789448781641381</v>
      </c>
      <c r="W24" s="75">
        <v>7.7123255263777208</v>
      </c>
      <c r="X24" s="75">
        <v>85.308729595458146</v>
      </c>
      <c r="Y24" s="75" t="s">
        <v>163</v>
      </c>
    </row>
    <row r="25" spans="2:25" ht="15.75">
      <c r="B25" s="111"/>
      <c r="C25" s="113"/>
      <c r="D25" s="113"/>
      <c r="E25" s="113"/>
      <c r="F25" s="6">
        <v>5</v>
      </c>
      <c r="G25" s="27" t="s">
        <v>71</v>
      </c>
      <c r="H25" s="10">
        <v>23.12</v>
      </c>
      <c r="I25" s="10">
        <v>23.64</v>
      </c>
      <c r="J25" s="10">
        <f t="shared" si="0"/>
        <v>0.51999999999999957</v>
      </c>
      <c r="K25" s="61">
        <f t="shared" si="1"/>
        <v>5.6546324488907995</v>
      </c>
      <c r="L25" s="62">
        <v>8.4673999999999996</v>
      </c>
      <c r="M25" s="62">
        <v>8.6843000000000004</v>
      </c>
      <c r="N25" s="62">
        <f t="shared" si="2"/>
        <v>0.21690000000000076</v>
      </c>
      <c r="O25" s="63">
        <f t="shared" si="3"/>
        <v>22.792518486299283</v>
      </c>
      <c r="P25" s="64">
        <v>11.270200000000001</v>
      </c>
      <c r="Q25" s="64">
        <v>11.434699999999999</v>
      </c>
      <c r="R25" s="64">
        <f t="shared" si="4"/>
        <v>0.16449999999999854</v>
      </c>
      <c r="S25" s="63">
        <f t="shared" si="5"/>
        <v>71.552849064809919</v>
      </c>
      <c r="T25" s="65">
        <f t="shared" si="6"/>
        <v>100</v>
      </c>
      <c r="U25" s="31">
        <f t="shared" si="7"/>
        <v>9.1960000000000299</v>
      </c>
      <c r="V25" s="75">
        <v>5.6546324488907995</v>
      </c>
      <c r="W25" s="75">
        <v>22.792518486299283</v>
      </c>
      <c r="X25" s="75">
        <v>71.552849064809919</v>
      </c>
      <c r="Y25" s="75" t="s">
        <v>163</v>
      </c>
    </row>
    <row r="26" spans="2:25" ht="15.75">
      <c r="B26" s="111">
        <v>37</v>
      </c>
      <c r="C26" s="113" t="s">
        <v>193</v>
      </c>
      <c r="D26" s="113" t="s">
        <v>194</v>
      </c>
      <c r="E26" s="113" t="s">
        <v>192</v>
      </c>
      <c r="F26" s="6">
        <v>1</v>
      </c>
      <c r="G26" s="29" t="s">
        <v>53</v>
      </c>
      <c r="H26" s="10">
        <v>38.39</v>
      </c>
      <c r="I26" s="10">
        <v>39.11</v>
      </c>
      <c r="J26" s="10">
        <f t="shared" si="0"/>
        <v>0.71999999999999886</v>
      </c>
      <c r="K26" s="61">
        <f t="shared" si="1"/>
        <v>7.9155672823219341</v>
      </c>
      <c r="L26" s="62">
        <v>8.4776000000000007</v>
      </c>
      <c r="M26" s="62">
        <v>8.6869999999999994</v>
      </c>
      <c r="N26" s="62">
        <f t="shared" si="2"/>
        <v>0.2093999999999987</v>
      </c>
      <c r="O26" s="63">
        <f t="shared" si="3"/>
        <v>20.316622691292515</v>
      </c>
      <c r="P26" s="64">
        <v>14.1302</v>
      </c>
      <c r="Q26" s="64">
        <v>14.2934</v>
      </c>
      <c r="R26" s="64">
        <f t="shared" si="4"/>
        <v>0.16319999999999979</v>
      </c>
      <c r="S26" s="63">
        <f t="shared" si="5"/>
        <v>71.767810026385547</v>
      </c>
      <c r="T26" s="65">
        <f t="shared" si="6"/>
        <v>100</v>
      </c>
      <c r="U26" s="31">
        <f t="shared" si="7"/>
        <v>9.0959999999999468</v>
      </c>
      <c r="V26" s="75">
        <v>7.9155672823219341</v>
      </c>
      <c r="W26" s="75">
        <v>20.316622691292515</v>
      </c>
      <c r="X26" s="75">
        <v>71.767810026385547</v>
      </c>
      <c r="Y26" s="75" t="s">
        <v>163</v>
      </c>
    </row>
    <row r="27" spans="2:25" ht="15.75">
      <c r="B27" s="111"/>
      <c r="C27" s="113"/>
      <c r="D27" s="113"/>
      <c r="E27" s="113"/>
      <c r="F27" s="6">
        <v>2</v>
      </c>
      <c r="G27" s="29" t="s">
        <v>63</v>
      </c>
      <c r="H27" s="10">
        <v>41.63</v>
      </c>
      <c r="I27" s="10">
        <v>43.05</v>
      </c>
      <c r="J27" s="10">
        <f t="shared" si="0"/>
        <v>1.4199999999999946</v>
      </c>
      <c r="K27" s="61">
        <f t="shared" si="1"/>
        <v>16.165755919854298</v>
      </c>
      <c r="L27" s="62">
        <v>14.2675</v>
      </c>
      <c r="M27" s="62">
        <v>14.451599999999999</v>
      </c>
      <c r="N27" s="62">
        <f t="shared" si="2"/>
        <v>0.18409999999999904</v>
      </c>
      <c r="O27" s="63">
        <f t="shared" si="3"/>
        <v>22.677595628415141</v>
      </c>
      <c r="P27" s="64">
        <v>12.773400000000001</v>
      </c>
      <c r="Q27" s="64">
        <v>12.9077</v>
      </c>
      <c r="R27" s="64">
        <f t="shared" si="4"/>
        <v>0.13429999999999964</v>
      </c>
      <c r="S27" s="63">
        <f t="shared" si="5"/>
        <v>61.156648451730554</v>
      </c>
      <c r="T27" s="65">
        <f t="shared" si="6"/>
        <v>100</v>
      </c>
      <c r="U27" s="31">
        <f t="shared" si="7"/>
        <v>8.7839999999999563</v>
      </c>
      <c r="V27" s="75">
        <v>16.165755919854298</v>
      </c>
      <c r="W27" s="75">
        <v>22.677595628415141</v>
      </c>
      <c r="X27" s="75">
        <v>61.156648451730554</v>
      </c>
      <c r="Y27" s="75" t="s">
        <v>163</v>
      </c>
    </row>
    <row r="28" spans="2:25" ht="15.75">
      <c r="B28" s="111"/>
      <c r="C28" s="113"/>
      <c r="D28" s="113"/>
      <c r="E28" s="113"/>
      <c r="F28" s="6">
        <v>3</v>
      </c>
      <c r="G28" s="29" t="s">
        <v>55</v>
      </c>
      <c r="H28" s="10">
        <v>28.22</v>
      </c>
      <c r="I28" s="10">
        <v>28.75</v>
      </c>
      <c r="J28" s="10">
        <f t="shared" si="0"/>
        <v>0.53000000000000114</v>
      </c>
      <c r="K28" s="61">
        <f t="shared" si="1"/>
        <v>6.5222741816392036</v>
      </c>
      <c r="L28" s="62">
        <v>12.5822</v>
      </c>
      <c r="M28" s="62">
        <v>12.7721</v>
      </c>
      <c r="N28" s="62">
        <f t="shared" si="2"/>
        <v>0.18989999999999974</v>
      </c>
      <c r="O28" s="63">
        <f t="shared" si="3"/>
        <v>7.6298301747474389</v>
      </c>
      <c r="P28" s="64">
        <v>10.648199999999999</v>
      </c>
      <c r="Q28" s="64">
        <v>10.8226</v>
      </c>
      <c r="R28" s="64">
        <f t="shared" si="4"/>
        <v>0.17440000000000033</v>
      </c>
      <c r="S28" s="63">
        <f t="shared" si="5"/>
        <v>85.847895643613356</v>
      </c>
      <c r="T28" s="65">
        <f t="shared" si="6"/>
        <v>100</v>
      </c>
      <c r="U28" s="31">
        <f t="shared" si="7"/>
        <v>8.1259999999999906</v>
      </c>
      <c r="V28" s="75">
        <v>6.5222741816392036</v>
      </c>
      <c r="W28" s="75">
        <v>7.6298301747474389</v>
      </c>
      <c r="X28" s="75">
        <v>85.847895643613356</v>
      </c>
      <c r="Y28" s="75" t="s">
        <v>163</v>
      </c>
    </row>
    <row r="29" spans="2:25" ht="15.75">
      <c r="B29" s="111"/>
      <c r="C29" s="113"/>
      <c r="D29" s="113"/>
      <c r="E29" s="113"/>
      <c r="F29" s="6">
        <v>4</v>
      </c>
      <c r="G29" s="66" t="s">
        <v>73</v>
      </c>
      <c r="H29" s="10">
        <v>20.58</v>
      </c>
      <c r="I29" s="10">
        <v>21.61</v>
      </c>
      <c r="J29" s="10">
        <f t="shared" si="0"/>
        <v>1.0300000000000011</v>
      </c>
      <c r="K29" s="61">
        <f t="shared" si="1"/>
        <v>11.957278848386434</v>
      </c>
      <c r="L29" s="62">
        <v>11.999000000000001</v>
      </c>
      <c r="M29" s="62">
        <v>12.188599999999999</v>
      </c>
      <c r="N29" s="62">
        <f t="shared" si="2"/>
        <v>0.18959999999999866</v>
      </c>
      <c r="O29" s="63">
        <f t="shared" si="3"/>
        <v>31.15857905734784</v>
      </c>
      <c r="P29" s="64">
        <v>14.0847</v>
      </c>
      <c r="Q29" s="64">
        <v>14.2072</v>
      </c>
      <c r="R29" s="64">
        <f t="shared" si="4"/>
        <v>0.1225000000000005</v>
      </c>
      <c r="S29" s="63">
        <f t="shared" si="5"/>
        <v>56.884142094265734</v>
      </c>
      <c r="T29" s="65">
        <f t="shared" si="6"/>
        <v>100</v>
      </c>
      <c r="U29" s="31">
        <f t="shared" si="7"/>
        <v>8.6139999999999475</v>
      </c>
      <c r="V29" s="75">
        <v>11.957278848386434</v>
      </c>
      <c r="W29" s="75">
        <v>31.15857905734784</v>
      </c>
      <c r="X29" s="75">
        <v>56.884142094265734</v>
      </c>
      <c r="Y29" s="75" t="s">
        <v>163</v>
      </c>
    </row>
    <row r="30" spans="2:25" ht="15.75">
      <c r="B30" s="111"/>
      <c r="C30" s="113"/>
      <c r="D30" s="113"/>
      <c r="E30" s="113"/>
      <c r="F30" s="6">
        <v>5</v>
      </c>
      <c r="G30" s="29" t="s">
        <v>64</v>
      </c>
      <c r="H30" s="10">
        <v>42.54</v>
      </c>
      <c r="I30" s="10">
        <v>43.71</v>
      </c>
      <c r="J30" s="10">
        <f t="shared" si="0"/>
        <v>1.1700000000000017</v>
      </c>
      <c r="K30" s="61">
        <f t="shared" si="1"/>
        <v>12.803676953381535</v>
      </c>
      <c r="L30" s="62">
        <v>15.0442</v>
      </c>
      <c r="M30" s="62">
        <v>15.243399999999999</v>
      </c>
      <c r="N30" s="62">
        <f t="shared" si="2"/>
        <v>0.19919999999999938</v>
      </c>
      <c r="O30" s="63">
        <f t="shared" si="3"/>
        <v>18.297220398336787</v>
      </c>
      <c r="P30" s="64">
        <v>13.8916</v>
      </c>
      <c r="Q30" s="64">
        <v>14.048999999999999</v>
      </c>
      <c r="R30" s="64">
        <f t="shared" si="4"/>
        <v>0.1573999999999991</v>
      </c>
      <c r="S30" s="63">
        <f t="shared" si="5"/>
        <v>68.899102648281669</v>
      </c>
      <c r="T30" s="65">
        <f t="shared" si="6"/>
        <v>100</v>
      </c>
      <c r="U30" s="31">
        <f t="shared" si="7"/>
        <v>9.1379999999999768</v>
      </c>
      <c r="V30" s="75">
        <v>12.803676953381535</v>
      </c>
      <c r="W30" s="75">
        <v>18.297220398336787</v>
      </c>
      <c r="X30" s="75">
        <v>68.899102648281669</v>
      </c>
      <c r="Y30" s="75" t="s">
        <v>163</v>
      </c>
    </row>
    <row r="31" spans="2:25" ht="15.75">
      <c r="B31" s="111">
        <v>38</v>
      </c>
      <c r="C31" s="113" t="s">
        <v>193</v>
      </c>
      <c r="D31" s="113" t="s">
        <v>194</v>
      </c>
      <c r="E31" s="113" t="s">
        <v>192</v>
      </c>
      <c r="F31" s="6">
        <v>1</v>
      </c>
      <c r="G31" s="29" t="s">
        <v>75</v>
      </c>
      <c r="H31" s="10">
        <v>41.07</v>
      </c>
      <c r="I31" s="10">
        <v>42.35</v>
      </c>
      <c r="J31" s="10">
        <f t="shared" si="0"/>
        <v>1.2800000000000011</v>
      </c>
      <c r="K31" s="61">
        <f t="shared" si="1"/>
        <v>15.002344116268162</v>
      </c>
      <c r="L31" s="62">
        <v>15.0207</v>
      </c>
      <c r="M31" s="62">
        <v>15.202</v>
      </c>
      <c r="N31" s="62">
        <f t="shared" si="2"/>
        <v>0.18130000000000024</v>
      </c>
      <c r="O31" s="63">
        <f t="shared" si="3"/>
        <v>17.393342709798652</v>
      </c>
      <c r="P31" s="64">
        <v>9.6188000000000002</v>
      </c>
      <c r="Q31" s="64">
        <v>9.7629999999999999</v>
      </c>
      <c r="R31" s="64">
        <f t="shared" si="4"/>
        <v>0.14419999999999966</v>
      </c>
      <c r="S31" s="63">
        <f t="shared" si="5"/>
        <v>67.604313173933178</v>
      </c>
      <c r="T31" s="65">
        <f t="shared" si="6"/>
        <v>100</v>
      </c>
      <c r="U31" s="31">
        <f t="shared" si="7"/>
        <v>8.5320000000000107</v>
      </c>
      <c r="V31" s="75">
        <v>15.002344116268162</v>
      </c>
      <c r="W31" s="75">
        <v>17.393342709798652</v>
      </c>
      <c r="X31" s="75">
        <v>67.604313173933178</v>
      </c>
      <c r="Y31" s="75" t="s">
        <v>163</v>
      </c>
    </row>
    <row r="32" spans="2:25" ht="15.75">
      <c r="B32" s="111"/>
      <c r="C32" s="113"/>
      <c r="D32" s="113"/>
      <c r="E32" s="113"/>
      <c r="F32" s="6">
        <v>2</v>
      </c>
      <c r="G32" s="29" t="s">
        <v>76</v>
      </c>
      <c r="H32" s="10">
        <v>27.47</v>
      </c>
      <c r="I32" s="10">
        <v>28.88</v>
      </c>
      <c r="J32" s="10">
        <f t="shared" si="0"/>
        <v>1.4100000000000001</v>
      </c>
      <c r="K32" s="61">
        <f t="shared" si="1"/>
        <v>15.649278579356308</v>
      </c>
      <c r="L32" s="62">
        <v>14.1851</v>
      </c>
      <c r="M32" s="62">
        <v>14.3751</v>
      </c>
      <c r="N32" s="62">
        <f t="shared" si="2"/>
        <v>0.1899999999999995</v>
      </c>
      <c r="O32" s="63">
        <f t="shared" si="3"/>
        <v>32.452830188679386</v>
      </c>
      <c r="P32" s="64">
        <v>8.4183000000000003</v>
      </c>
      <c r="Q32" s="64">
        <v>8.5351999999999997</v>
      </c>
      <c r="R32" s="64">
        <f t="shared" si="4"/>
        <v>0.11689999999999934</v>
      </c>
      <c r="S32" s="63">
        <f t="shared" si="5"/>
        <v>51.897891231964302</v>
      </c>
      <c r="T32" s="65">
        <f t="shared" si="6"/>
        <v>100</v>
      </c>
      <c r="U32" s="31">
        <f t="shared" si="7"/>
        <v>9.0099999999999802</v>
      </c>
      <c r="V32" s="75">
        <v>15.649278579356308</v>
      </c>
      <c r="W32" s="75">
        <v>32.452830188679386</v>
      </c>
      <c r="X32" s="75">
        <v>51.897891231964302</v>
      </c>
      <c r="Y32" s="75" t="s">
        <v>163</v>
      </c>
    </row>
    <row r="33" spans="2:25" ht="15.75">
      <c r="B33" s="111"/>
      <c r="C33" s="113"/>
      <c r="D33" s="113"/>
      <c r="E33" s="113"/>
      <c r="F33" s="6">
        <v>3</v>
      </c>
      <c r="G33" s="29" t="s">
        <v>63</v>
      </c>
      <c r="H33" s="10">
        <v>40.659999999999997</v>
      </c>
      <c r="I33" s="10">
        <v>42.06</v>
      </c>
      <c r="J33" s="10">
        <f t="shared" si="0"/>
        <v>1.4000000000000057</v>
      </c>
      <c r="K33" s="61">
        <f t="shared" si="1"/>
        <v>16.908212560386481</v>
      </c>
      <c r="L33" s="62">
        <v>12.7103</v>
      </c>
      <c r="M33" s="62">
        <v>12.882300000000001</v>
      </c>
      <c r="N33" s="62">
        <f t="shared" si="2"/>
        <v>0.1720000000000006</v>
      </c>
      <c r="O33" s="63">
        <f t="shared" si="3"/>
        <v>24.685990338164984</v>
      </c>
      <c r="P33" s="64">
        <v>8.7405000000000008</v>
      </c>
      <c r="Q33" s="64">
        <v>8.8613999999999997</v>
      </c>
      <c r="R33" s="64">
        <f t="shared" si="4"/>
        <v>0.1208999999999989</v>
      </c>
      <c r="S33" s="63">
        <f t="shared" si="5"/>
        <v>58.405797101448528</v>
      </c>
      <c r="T33" s="65">
        <f t="shared" si="6"/>
        <v>100</v>
      </c>
      <c r="U33" s="31">
        <f t="shared" si="7"/>
        <v>8.2800000000000296</v>
      </c>
      <c r="V33" s="75">
        <v>16.908212560386481</v>
      </c>
      <c r="W33" s="75">
        <v>24.685990338164984</v>
      </c>
      <c r="X33" s="75">
        <v>58.405797101448528</v>
      </c>
      <c r="Y33" s="75" t="s">
        <v>163</v>
      </c>
    </row>
    <row r="34" spans="2:25" ht="15.75">
      <c r="B34" s="111"/>
      <c r="C34" s="113"/>
      <c r="D34" s="113"/>
      <c r="E34" s="113"/>
      <c r="F34" s="6">
        <v>4</v>
      </c>
      <c r="G34" s="29" t="s">
        <v>64</v>
      </c>
      <c r="H34" s="10">
        <v>33.43</v>
      </c>
      <c r="I34" s="10">
        <v>34.92</v>
      </c>
      <c r="J34" s="10">
        <f t="shared" si="0"/>
        <v>1.490000000000002</v>
      </c>
      <c r="K34" s="61">
        <f t="shared" si="1"/>
        <v>16.456814667550283</v>
      </c>
      <c r="L34" s="62">
        <v>14.5787</v>
      </c>
      <c r="M34" s="62">
        <v>14.767799999999999</v>
      </c>
      <c r="N34" s="62">
        <f t="shared" si="2"/>
        <v>0.18909999999999982</v>
      </c>
      <c r="O34" s="63">
        <f t="shared" si="3"/>
        <v>33.09034680804124</v>
      </c>
      <c r="P34" s="64">
        <v>13.866300000000001</v>
      </c>
      <c r="Q34" s="64">
        <v>13.980499999999999</v>
      </c>
      <c r="R34" s="64">
        <f t="shared" si="4"/>
        <v>0.11419999999999852</v>
      </c>
      <c r="S34" s="63">
        <f t="shared" si="5"/>
        <v>50.45283852440847</v>
      </c>
      <c r="T34" s="65">
        <f t="shared" si="6"/>
        <v>100</v>
      </c>
      <c r="U34" s="31">
        <f t="shared" si="7"/>
        <v>9.0539999999999949</v>
      </c>
      <c r="V34" s="75">
        <v>16.456814667550283</v>
      </c>
      <c r="W34" s="75">
        <v>33.09034680804124</v>
      </c>
      <c r="X34" s="75">
        <v>50.45283852440847</v>
      </c>
      <c r="Y34" s="75" t="s">
        <v>163</v>
      </c>
    </row>
    <row r="35" spans="2:25" ht="15.75">
      <c r="B35" s="111"/>
      <c r="C35" s="113"/>
      <c r="D35" s="113"/>
      <c r="E35" s="113"/>
      <c r="F35" s="6">
        <v>5</v>
      </c>
      <c r="G35" s="30" t="s">
        <v>77</v>
      </c>
      <c r="H35" s="10">
        <v>40.950000000000003</v>
      </c>
      <c r="I35" s="10">
        <v>42.59</v>
      </c>
      <c r="J35" s="10">
        <f t="shared" si="0"/>
        <v>1.6400000000000006</v>
      </c>
      <c r="K35" s="61">
        <f t="shared" si="1"/>
        <v>17.619252256123836</v>
      </c>
      <c r="L35" s="62">
        <v>14.009600000000001</v>
      </c>
      <c r="M35" s="62">
        <v>14.2013</v>
      </c>
      <c r="N35" s="62">
        <f t="shared" si="2"/>
        <v>0.19169999999999909</v>
      </c>
      <c r="O35" s="63">
        <f t="shared" si="3"/>
        <v>32.101418134937802</v>
      </c>
      <c r="P35" s="64">
        <v>10.6104</v>
      </c>
      <c r="Q35" s="64">
        <v>10.727399999999999</v>
      </c>
      <c r="R35" s="64">
        <f t="shared" si="4"/>
        <v>0.1169999999999991</v>
      </c>
      <c r="S35" s="63">
        <f t="shared" si="5"/>
        <v>50.279329608938347</v>
      </c>
      <c r="T35" s="65">
        <f t="shared" si="6"/>
        <v>99.999999999999986</v>
      </c>
      <c r="U35" s="31">
        <f t="shared" si="7"/>
        <v>9.3079999999999643</v>
      </c>
      <c r="V35" s="75">
        <v>17.619252256123836</v>
      </c>
      <c r="W35" s="75">
        <v>32.101418134937802</v>
      </c>
      <c r="X35" s="75">
        <v>50.279329608938347</v>
      </c>
      <c r="Y35" s="75" t="s">
        <v>163</v>
      </c>
    </row>
    <row r="36" spans="2:25" ht="15.75">
      <c r="B36" s="111">
        <v>41</v>
      </c>
      <c r="C36" s="113" t="s">
        <v>186</v>
      </c>
      <c r="D36" s="113" t="s">
        <v>194</v>
      </c>
      <c r="E36" s="113" t="s">
        <v>192</v>
      </c>
      <c r="F36" s="6">
        <v>1</v>
      </c>
      <c r="G36" s="29" t="s">
        <v>78</v>
      </c>
      <c r="H36" s="10">
        <v>28.1</v>
      </c>
      <c r="I36" s="10">
        <v>28.89</v>
      </c>
      <c r="J36" s="10">
        <f t="shared" si="0"/>
        <v>0.78999999999999915</v>
      </c>
      <c r="K36" s="61">
        <f t="shared" si="1"/>
        <v>8.6603814952861313</v>
      </c>
      <c r="L36" s="62">
        <v>13.897</v>
      </c>
      <c r="M36" s="62">
        <v>14.1053</v>
      </c>
      <c r="N36" s="62">
        <f t="shared" si="2"/>
        <v>0.20829999999999949</v>
      </c>
      <c r="O36" s="63">
        <f t="shared" si="3"/>
        <v>17.233062924796798</v>
      </c>
      <c r="P36" s="64">
        <v>11.584099999999999</v>
      </c>
      <c r="Q36" s="64">
        <v>11.7531</v>
      </c>
      <c r="R36" s="64">
        <f t="shared" si="4"/>
        <v>0.16900000000000048</v>
      </c>
      <c r="S36" s="63">
        <f t="shared" si="5"/>
        <v>74.106555579917071</v>
      </c>
      <c r="T36" s="65">
        <f t="shared" si="6"/>
        <v>100</v>
      </c>
      <c r="U36" s="31">
        <f t="shared" si="7"/>
        <v>9.1219999999999786</v>
      </c>
      <c r="V36" s="75">
        <v>8.6603814952861313</v>
      </c>
      <c r="W36" s="75">
        <v>17.233062924796798</v>
      </c>
      <c r="X36" s="75">
        <v>74.106555579917071</v>
      </c>
      <c r="Y36" s="75" t="s">
        <v>163</v>
      </c>
    </row>
    <row r="37" spans="2:25" ht="15.75">
      <c r="B37" s="111"/>
      <c r="C37" s="113"/>
      <c r="D37" s="113"/>
      <c r="E37" s="113"/>
      <c r="F37" s="6">
        <v>2</v>
      </c>
      <c r="G37" s="29" t="s">
        <v>53</v>
      </c>
      <c r="H37" s="10">
        <v>28.73</v>
      </c>
      <c r="I37" s="10">
        <v>29.56</v>
      </c>
      <c r="J37" s="10">
        <f t="shared" si="0"/>
        <v>0.82999999999999829</v>
      </c>
      <c r="K37" s="61">
        <f t="shared" si="1"/>
        <v>9.0750054668707296</v>
      </c>
      <c r="L37" s="62">
        <v>15.118</v>
      </c>
      <c r="M37" s="62">
        <v>15.325900000000001</v>
      </c>
      <c r="N37" s="62">
        <f t="shared" si="2"/>
        <v>0.20790000000000042</v>
      </c>
      <c r="O37" s="63">
        <f t="shared" si="3"/>
        <v>19.199650120271439</v>
      </c>
      <c r="P37" s="64">
        <v>8.7759</v>
      </c>
      <c r="Q37" s="64">
        <v>8.9398999999999997</v>
      </c>
      <c r="R37" s="64">
        <f t="shared" si="4"/>
        <v>0.1639999999999997</v>
      </c>
      <c r="S37" s="63">
        <f t="shared" si="5"/>
        <v>71.725344412857822</v>
      </c>
      <c r="T37" s="65">
        <f t="shared" si="6"/>
        <v>100</v>
      </c>
      <c r="U37" s="31">
        <f t="shared" si="7"/>
        <v>9.146000000000015</v>
      </c>
      <c r="V37" s="75">
        <v>9.0750054668707296</v>
      </c>
      <c r="W37" s="75">
        <v>19.199650120271439</v>
      </c>
      <c r="X37" s="75">
        <v>71.725344412857822</v>
      </c>
      <c r="Y37" s="75" t="s">
        <v>163</v>
      </c>
    </row>
    <row r="38" spans="2:25" ht="15.75">
      <c r="B38" s="111"/>
      <c r="C38" s="113"/>
      <c r="D38" s="113"/>
      <c r="E38" s="113"/>
      <c r="F38" s="6">
        <v>3</v>
      </c>
      <c r="G38" s="29" t="s">
        <v>79</v>
      </c>
      <c r="H38" s="10">
        <v>22.75</v>
      </c>
      <c r="I38" s="10">
        <v>23.41</v>
      </c>
      <c r="J38" s="10">
        <f t="shared" si="0"/>
        <v>0.66000000000000014</v>
      </c>
      <c r="K38" s="61">
        <f t="shared" si="1"/>
        <v>7.5102412380519263</v>
      </c>
      <c r="L38" s="62">
        <v>15.1896</v>
      </c>
      <c r="M38" s="62">
        <v>15.392799999999999</v>
      </c>
      <c r="N38" s="62">
        <f t="shared" si="2"/>
        <v>0.20319999999999894</v>
      </c>
      <c r="O38" s="63">
        <f t="shared" si="3"/>
        <v>20.983158852981049</v>
      </c>
      <c r="P38" s="64">
        <v>14.7408</v>
      </c>
      <c r="Q38" s="64">
        <v>14.8979</v>
      </c>
      <c r="R38" s="64">
        <f t="shared" si="4"/>
        <v>0.1570999999999998</v>
      </c>
      <c r="S38" s="63">
        <f t="shared" si="5"/>
        <v>71.506599908967033</v>
      </c>
      <c r="T38" s="65">
        <f t="shared" si="6"/>
        <v>100</v>
      </c>
      <c r="U38" s="31">
        <f t="shared" si="7"/>
        <v>8.7879999999999576</v>
      </c>
      <c r="V38" s="75">
        <v>7.5102412380519263</v>
      </c>
      <c r="W38" s="75">
        <v>20.983158852981049</v>
      </c>
      <c r="X38" s="75">
        <v>71.506599908967033</v>
      </c>
      <c r="Y38" s="75" t="s">
        <v>163</v>
      </c>
    </row>
    <row r="39" spans="2:25" ht="15.75">
      <c r="B39" s="111"/>
      <c r="C39" s="113"/>
      <c r="D39" s="113"/>
      <c r="E39" s="113"/>
      <c r="F39" s="6">
        <v>4</v>
      </c>
      <c r="G39" s="29" t="s">
        <v>80</v>
      </c>
      <c r="H39" s="10">
        <v>18.579999999999998</v>
      </c>
      <c r="I39" s="10">
        <v>19.13</v>
      </c>
      <c r="J39" s="10">
        <f t="shared" si="0"/>
        <v>0.55000000000000071</v>
      </c>
      <c r="K39" s="61">
        <f t="shared" si="1"/>
        <v>6.1124694376528241</v>
      </c>
      <c r="L39" s="62">
        <v>14.4686</v>
      </c>
      <c r="M39" s="62">
        <v>14.6798</v>
      </c>
      <c r="N39" s="62">
        <f t="shared" si="2"/>
        <v>0.21119999999999983</v>
      </c>
      <c r="O39" s="63">
        <f t="shared" si="3"/>
        <v>19.070904645477349</v>
      </c>
      <c r="P39" s="64">
        <v>8.3983000000000008</v>
      </c>
      <c r="Q39" s="64">
        <v>8.5665999999999993</v>
      </c>
      <c r="R39" s="64">
        <f t="shared" si="4"/>
        <v>0.16829999999999856</v>
      </c>
      <c r="S39" s="63">
        <f t="shared" si="5"/>
        <v>74.816625916869825</v>
      </c>
      <c r="T39" s="65">
        <f t="shared" si="6"/>
        <v>100</v>
      </c>
      <c r="U39" s="31">
        <f t="shared" si="7"/>
        <v>8.997999999999994</v>
      </c>
      <c r="V39" s="75">
        <v>6.1124694376528241</v>
      </c>
      <c r="W39" s="75">
        <v>19.070904645477349</v>
      </c>
      <c r="X39" s="75">
        <v>74.816625916869825</v>
      </c>
      <c r="Y39" s="75" t="s">
        <v>163</v>
      </c>
    </row>
    <row r="40" spans="2:25" ht="15.75">
      <c r="B40" s="111"/>
      <c r="C40" s="113"/>
      <c r="D40" s="113"/>
      <c r="E40" s="113"/>
      <c r="F40" s="6">
        <v>5</v>
      </c>
      <c r="G40" s="29" t="s">
        <v>81</v>
      </c>
      <c r="H40" s="10">
        <v>34.74</v>
      </c>
      <c r="I40" s="10">
        <v>35.549999999999997</v>
      </c>
      <c r="J40" s="10">
        <f t="shared" si="0"/>
        <v>0.80999999999999517</v>
      </c>
      <c r="K40" s="61">
        <f t="shared" si="1"/>
        <v>10.158013544018003</v>
      </c>
      <c r="L40" s="62">
        <v>13.9015</v>
      </c>
      <c r="M40" s="62">
        <v>14.0806</v>
      </c>
      <c r="N40" s="62">
        <f t="shared" si="2"/>
        <v>0.17910000000000004</v>
      </c>
      <c r="O40" s="63">
        <f t="shared" si="3"/>
        <v>7.223476297968495</v>
      </c>
      <c r="P40" s="64">
        <v>8.5311000000000003</v>
      </c>
      <c r="Q40" s="64">
        <v>8.6958000000000002</v>
      </c>
      <c r="R40" s="64">
        <f t="shared" si="4"/>
        <v>0.16469999999999985</v>
      </c>
      <c r="S40" s="63">
        <f t="shared" si="5"/>
        <v>82.618510158013507</v>
      </c>
      <c r="T40" s="65">
        <f t="shared" si="6"/>
        <v>100</v>
      </c>
      <c r="U40" s="31">
        <f t="shared" si="7"/>
        <v>7.9739999999999966</v>
      </c>
      <c r="V40" s="75">
        <v>10.158013544018003</v>
      </c>
      <c r="W40" s="75">
        <v>7.223476297968495</v>
      </c>
      <c r="X40" s="75">
        <v>82.618510158013507</v>
      </c>
      <c r="Y40" s="75" t="s">
        <v>163</v>
      </c>
    </row>
    <row r="41" spans="2:25">
      <c r="F41" t="s">
        <v>111</v>
      </c>
      <c r="G41" s="6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</row>
    <row r="42" spans="2:25">
      <c r="G42" s="68" t="s">
        <v>131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 spans="2:25">
      <c r="G43" s="68" t="s">
        <v>132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spans="2:25">
      <c r="G44" s="68" t="s">
        <v>133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2:25">
      <c r="G45" s="68" t="s">
        <v>134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 spans="2:25">
      <c r="G46" s="68" t="s">
        <v>135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spans="2:25">
      <c r="G47" s="6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 spans="2:25">
      <c r="G48" s="6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 spans="7:21">
      <c r="G49" s="6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 spans="7:21">
      <c r="G50" s="6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</row>
    <row r="51" spans="7:21">
      <c r="G51" s="6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</sheetData>
  <mergeCells count="41">
    <mergeCell ref="B36:B40"/>
    <mergeCell ref="C36:C40"/>
    <mergeCell ref="D36:D40"/>
    <mergeCell ref="B3:Y3"/>
    <mergeCell ref="B26:B30"/>
    <mergeCell ref="C26:C30"/>
    <mergeCell ref="D26:D30"/>
    <mergeCell ref="B31:B35"/>
    <mergeCell ref="C31:C35"/>
    <mergeCell ref="D31:D35"/>
    <mergeCell ref="B16:B20"/>
    <mergeCell ref="C16:C20"/>
    <mergeCell ref="D16:D20"/>
    <mergeCell ref="B21:B25"/>
    <mergeCell ref="C21:C25"/>
    <mergeCell ref="D21:D25"/>
    <mergeCell ref="B6:B10"/>
    <mergeCell ref="C6:C10"/>
    <mergeCell ref="D6:D10"/>
    <mergeCell ref="B11:B15"/>
    <mergeCell ref="C11:C15"/>
    <mergeCell ref="D11:D15"/>
    <mergeCell ref="Y4:Y5"/>
    <mergeCell ref="B4:B5"/>
    <mergeCell ref="C4:C5"/>
    <mergeCell ref="D4:D5"/>
    <mergeCell ref="E36:E40"/>
    <mergeCell ref="E6:E10"/>
    <mergeCell ref="E11:E15"/>
    <mergeCell ref="E16:E20"/>
    <mergeCell ref="E21:E25"/>
    <mergeCell ref="E26:E30"/>
    <mergeCell ref="E31:E35"/>
    <mergeCell ref="V4:X4"/>
    <mergeCell ref="E4:E5"/>
    <mergeCell ref="F4:F5"/>
    <mergeCell ref="G4:G5"/>
    <mergeCell ref="H4:K4"/>
    <mergeCell ref="L4:O4"/>
    <mergeCell ref="P4:T4"/>
    <mergeCell ref="U4:U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57FD-BD18-4375-B3B0-1DF6BEAE4B96}">
  <dimension ref="B3:U41"/>
  <sheetViews>
    <sheetView workbookViewId="0">
      <selection activeCell="C7" sqref="C7:C11"/>
    </sheetView>
  </sheetViews>
  <sheetFormatPr defaultRowHeight="14.25"/>
  <cols>
    <col min="7" max="7" width="20.75" customWidth="1"/>
    <col min="14" max="14" width="11.875" customWidth="1"/>
    <col min="21" max="21" width="24.5" customWidth="1"/>
  </cols>
  <sheetData>
    <row r="3" spans="2:21" ht="15.75">
      <c r="B3" s="152" t="s">
        <v>136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4"/>
    </row>
    <row r="4" spans="2:21" ht="31.5">
      <c r="B4" s="125" t="s">
        <v>182</v>
      </c>
      <c r="C4" s="125" t="s">
        <v>181</v>
      </c>
      <c r="D4" s="125" t="s">
        <v>180</v>
      </c>
      <c r="E4" s="133" t="s">
        <v>179</v>
      </c>
      <c r="F4" s="134" t="s">
        <v>195</v>
      </c>
      <c r="G4" s="112" t="s">
        <v>51</v>
      </c>
      <c r="H4" s="69" t="s">
        <v>137</v>
      </c>
      <c r="I4" s="69" t="s">
        <v>138</v>
      </c>
      <c r="J4" s="119" t="s">
        <v>139</v>
      </c>
      <c r="K4" s="119" t="s">
        <v>140</v>
      </c>
      <c r="L4" s="119" t="s">
        <v>141</v>
      </c>
      <c r="M4" s="90" t="s">
        <v>142</v>
      </c>
      <c r="N4" s="120" t="s">
        <v>143</v>
      </c>
      <c r="O4" s="121" t="s">
        <v>144</v>
      </c>
      <c r="P4" s="119" t="s">
        <v>145</v>
      </c>
      <c r="Q4" s="119" t="s">
        <v>146</v>
      </c>
      <c r="R4" s="122" t="s">
        <v>147</v>
      </c>
      <c r="S4" s="119" t="s">
        <v>148</v>
      </c>
      <c r="T4" s="118" t="s">
        <v>149</v>
      </c>
      <c r="U4" s="111" t="s">
        <v>167</v>
      </c>
    </row>
    <row r="5" spans="2:21" ht="15.75">
      <c r="B5" s="125"/>
      <c r="C5" s="125"/>
      <c r="D5" s="125"/>
      <c r="E5" s="133"/>
      <c r="F5" s="134"/>
      <c r="G5" s="112"/>
      <c r="H5" s="69" t="s">
        <v>150</v>
      </c>
      <c r="I5" s="69" t="s">
        <v>151</v>
      </c>
      <c r="J5" s="119"/>
      <c r="K5" s="119"/>
      <c r="L5" s="119"/>
      <c r="M5" s="90"/>
      <c r="N5" s="120"/>
      <c r="O5" s="121"/>
      <c r="P5" s="119"/>
      <c r="Q5" s="119"/>
      <c r="R5" s="122"/>
      <c r="S5" s="119"/>
      <c r="T5" s="118"/>
      <c r="U5" s="111"/>
    </row>
    <row r="6" spans="2:21" ht="15.75">
      <c r="B6" s="155" t="s">
        <v>152</v>
      </c>
      <c r="C6" s="156"/>
      <c r="D6" s="156"/>
      <c r="E6" s="157"/>
      <c r="F6" s="6">
        <v>1</v>
      </c>
      <c r="G6" s="6"/>
      <c r="H6" s="6"/>
      <c r="I6" s="6"/>
      <c r="J6" s="6">
        <v>0.4</v>
      </c>
      <c r="K6" s="6">
        <v>10.4</v>
      </c>
      <c r="L6" s="27">
        <f>K6-J6</f>
        <v>10</v>
      </c>
      <c r="M6" s="27"/>
      <c r="N6" s="70"/>
      <c r="O6" s="70"/>
      <c r="P6" s="6"/>
      <c r="Q6" s="6"/>
      <c r="R6" s="6"/>
      <c r="S6" s="6"/>
      <c r="T6" s="71"/>
      <c r="U6" s="123"/>
    </row>
    <row r="7" spans="2:21" ht="15.75">
      <c r="B7" s="111">
        <v>1</v>
      </c>
      <c r="C7" s="113" t="s">
        <v>183</v>
      </c>
      <c r="D7" s="113" t="s">
        <v>184</v>
      </c>
      <c r="E7" s="113" t="s">
        <v>185</v>
      </c>
      <c r="F7" s="6">
        <v>1</v>
      </c>
      <c r="G7" s="29" t="s">
        <v>53</v>
      </c>
      <c r="H7" s="6">
        <v>0.504</v>
      </c>
      <c r="I7" s="6"/>
      <c r="J7" s="6">
        <v>40.6</v>
      </c>
      <c r="K7" s="6">
        <v>48.8</v>
      </c>
      <c r="L7" s="27">
        <f t="shared" ref="L7:L41" si="0">K7-J7</f>
        <v>8.1999999999999957</v>
      </c>
      <c r="M7" s="70">
        <v>10</v>
      </c>
      <c r="N7" s="70">
        <f>10/M7</f>
        <v>1</v>
      </c>
      <c r="O7" s="70">
        <v>3.0000000000000001E-3</v>
      </c>
      <c r="P7" s="6">
        <v>1.33</v>
      </c>
      <c r="Q7" s="6">
        <v>100</v>
      </c>
      <c r="R7" s="51">
        <v>4.7653958944281722</v>
      </c>
      <c r="S7" s="51">
        <f>100/(100-R7)</f>
        <v>1.0500384911470364</v>
      </c>
      <c r="T7" s="72">
        <f>(M7-L7)*N7*O7*P7*Q7*S7/H7</f>
        <v>1.4963048498845308</v>
      </c>
      <c r="U7" s="31" t="s">
        <v>162</v>
      </c>
    </row>
    <row r="8" spans="2:21" ht="15.75">
      <c r="B8" s="111"/>
      <c r="C8" s="113"/>
      <c r="D8" s="113"/>
      <c r="E8" s="113"/>
      <c r="F8" s="6">
        <v>2</v>
      </c>
      <c r="G8" s="29" t="s">
        <v>54</v>
      </c>
      <c r="H8" s="6">
        <v>0.501</v>
      </c>
      <c r="I8" s="6"/>
      <c r="J8" s="6">
        <v>0.1</v>
      </c>
      <c r="K8" s="6">
        <v>7.8</v>
      </c>
      <c r="L8" s="27">
        <f t="shared" si="0"/>
        <v>7.7</v>
      </c>
      <c r="M8" s="70">
        <v>10</v>
      </c>
      <c r="N8" s="70">
        <f t="shared" ref="N8:N41" si="1">10/M8</f>
        <v>1</v>
      </c>
      <c r="O8" s="70">
        <v>3.0000000000000001E-3</v>
      </c>
      <c r="P8" s="6">
        <v>1.33</v>
      </c>
      <c r="Q8" s="6">
        <v>100</v>
      </c>
      <c r="R8" s="51">
        <v>5.0519903371494577</v>
      </c>
      <c r="S8" s="51">
        <f t="shared" ref="S8:S41" si="2">100/(100-R8)</f>
        <v>1.05320796460177</v>
      </c>
      <c r="T8" s="72">
        <f t="shared" ref="T8:T41" si="3">(M8-L8)*N8*O8*P8*Q8*S8/H8</f>
        <v>1.9291994992316255</v>
      </c>
      <c r="U8" s="31" t="s">
        <v>162</v>
      </c>
    </row>
    <row r="9" spans="2:21" ht="15.75">
      <c r="B9" s="111"/>
      <c r="C9" s="113"/>
      <c r="D9" s="113"/>
      <c r="E9" s="113"/>
      <c r="F9" s="6">
        <v>3</v>
      </c>
      <c r="G9" s="29" t="s">
        <v>55</v>
      </c>
      <c r="H9" s="6">
        <v>0.502</v>
      </c>
      <c r="I9" s="6"/>
      <c r="J9" s="6">
        <v>7.8</v>
      </c>
      <c r="K9" s="6">
        <v>15.3</v>
      </c>
      <c r="L9" s="27">
        <f t="shared" si="0"/>
        <v>7.5000000000000009</v>
      </c>
      <c r="M9" s="70">
        <v>10</v>
      </c>
      <c r="N9" s="70">
        <f t="shared" si="1"/>
        <v>1</v>
      </c>
      <c r="O9" s="70">
        <v>3.0000000000000001E-3</v>
      </c>
      <c r="P9" s="6">
        <v>1.33</v>
      </c>
      <c r="Q9" s="6">
        <v>100</v>
      </c>
      <c r="R9" s="51">
        <v>4.971680302076761</v>
      </c>
      <c r="S9" s="51">
        <f t="shared" si="2"/>
        <v>1.0523178807947018</v>
      </c>
      <c r="T9" s="72">
        <f t="shared" si="3"/>
        <v>2.0910101316587939</v>
      </c>
      <c r="U9" s="31" t="s">
        <v>161</v>
      </c>
    </row>
    <row r="10" spans="2:21" ht="15.75">
      <c r="B10" s="111"/>
      <c r="C10" s="113"/>
      <c r="D10" s="113"/>
      <c r="E10" s="113"/>
      <c r="F10" s="6">
        <v>4</v>
      </c>
      <c r="G10" s="29" t="s">
        <v>56</v>
      </c>
      <c r="H10" s="6">
        <v>0.5</v>
      </c>
      <c r="I10" s="6"/>
      <c r="J10" s="6">
        <v>15.3</v>
      </c>
      <c r="K10" s="6">
        <v>22.6</v>
      </c>
      <c r="L10" s="27">
        <f t="shared" si="0"/>
        <v>7.3000000000000007</v>
      </c>
      <c r="M10" s="70">
        <v>10</v>
      </c>
      <c r="N10" s="70">
        <f t="shared" si="1"/>
        <v>1</v>
      </c>
      <c r="O10" s="70">
        <v>3.0000000000000001E-3</v>
      </c>
      <c r="P10" s="6">
        <v>1.33</v>
      </c>
      <c r="Q10" s="6">
        <v>100</v>
      </c>
      <c r="R10" s="51">
        <v>5.2155625657202993</v>
      </c>
      <c r="S10" s="51">
        <f t="shared" si="2"/>
        <v>1.0550255158642114</v>
      </c>
      <c r="T10" s="72">
        <f t="shared" si="3"/>
        <v>2.2731579764810292</v>
      </c>
      <c r="U10" s="31" t="s">
        <v>161</v>
      </c>
    </row>
    <row r="11" spans="2:21" ht="15.75">
      <c r="B11" s="111"/>
      <c r="C11" s="113"/>
      <c r="D11" s="113"/>
      <c r="E11" s="113"/>
      <c r="F11" s="6">
        <v>5</v>
      </c>
      <c r="G11" s="29" t="s">
        <v>57</v>
      </c>
      <c r="H11" s="6">
        <v>0.504</v>
      </c>
      <c r="I11" s="6"/>
      <c r="J11" s="6">
        <v>22.6</v>
      </c>
      <c r="K11" s="6">
        <v>30.6</v>
      </c>
      <c r="L11" s="27">
        <f t="shared" si="0"/>
        <v>8</v>
      </c>
      <c r="M11" s="70">
        <v>10</v>
      </c>
      <c r="N11" s="70">
        <f t="shared" si="1"/>
        <v>1</v>
      </c>
      <c r="O11" s="70">
        <v>3.0000000000000001E-3</v>
      </c>
      <c r="P11" s="6">
        <v>1.33</v>
      </c>
      <c r="Q11" s="6">
        <v>100</v>
      </c>
      <c r="R11" s="51">
        <v>4.4131455399060844</v>
      </c>
      <c r="S11" s="51">
        <f t="shared" si="2"/>
        <v>1.0461689587426324</v>
      </c>
      <c r="T11" s="72">
        <f t="shared" si="3"/>
        <v>1.6564341846758346</v>
      </c>
      <c r="U11" s="31" t="s">
        <v>162</v>
      </c>
    </row>
    <row r="12" spans="2:21" ht="15.75">
      <c r="B12" s="111">
        <v>7</v>
      </c>
      <c r="C12" s="113" t="s">
        <v>186</v>
      </c>
      <c r="D12" s="113" t="s">
        <v>187</v>
      </c>
      <c r="E12" s="113" t="s">
        <v>185</v>
      </c>
      <c r="F12" s="6">
        <v>1</v>
      </c>
      <c r="G12" s="29" t="s">
        <v>58</v>
      </c>
      <c r="H12" s="6">
        <v>0.50600000000000001</v>
      </c>
      <c r="I12" s="6"/>
      <c r="J12" s="6">
        <v>6.7</v>
      </c>
      <c r="K12" s="6">
        <v>13.7</v>
      </c>
      <c r="L12" s="27">
        <f t="shared" si="0"/>
        <v>6.9999999999999991</v>
      </c>
      <c r="M12" s="70">
        <v>10</v>
      </c>
      <c r="N12" s="70">
        <f t="shared" si="1"/>
        <v>1</v>
      </c>
      <c r="O12" s="70">
        <v>3.0000000000000001E-3</v>
      </c>
      <c r="P12" s="6">
        <v>1.33</v>
      </c>
      <c r="Q12" s="6">
        <v>100</v>
      </c>
      <c r="R12" s="51">
        <v>5.0393700787401814</v>
      </c>
      <c r="S12" s="51">
        <f t="shared" si="2"/>
        <v>1.053067993366501</v>
      </c>
      <c r="T12" s="72">
        <f t="shared" si="3"/>
        <v>2.491150964544866</v>
      </c>
      <c r="U12" s="31" t="s">
        <v>161</v>
      </c>
    </row>
    <row r="13" spans="2:21" ht="15.75">
      <c r="B13" s="111"/>
      <c r="C13" s="113"/>
      <c r="D13" s="113"/>
      <c r="E13" s="113"/>
      <c r="F13" s="6">
        <v>2</v>
      </c>
      <c r="G13" s="29" t="s">
        <v>59</v>
      </c>
      <c r="H13" s="6">
        <v>0.501</v>
      </c>
      <c r="I13" s="6"/>
      <c r="J13" s="6">
        <v>13.7</v>
      </c>
      <c r="K13" s="6">
        <v>21.2</v>
      </c>
      <c r="L13" s="27">
        <f t="shared" si="0"/>
        <v>7.5</v>
      </c>
      <c r="M13" s="70">
        <v>10</v>
      </c>
      <c r="N13" s="70">
        <f t="shared" si="1"/>
        <v>1</v>
      </c>
      <c r="O13" s="70">
        <v>3.0000000000000001E-3</v>
      </c>
      <c r="P13" s="6">
        <v>1.33</v>
      </c>
      <c r="Q13" s="6">
        <v>100</v>
      </c>
      <c r="R13" s="51">
        <v>5.9832680292279745</v>
      </c>
      <c r="S13" s="51">
        <f t="shared" si="2"/>
        <v>1.0636404595629643</v>
      </c>
      <c r="T13" s="72">
        <f t="shared" si="3"/>
        <v>2.1177272623035068</v>
      </c>
      <c r="U13" s="31" t="s">
        <v>161</v>
      </c>
    </row>
    <row r="14" spans="2:21" ht="15.75">
      <c r="B14" s="111"/>
      <c r="C14" s="113"/>
      <c r="D14" s="113"/>
      <c r="E14" s="113"/>
      <c r="F14" s="6">
        <v>3</v>
      </c>
      <c r="G14" s="29" t="s">
        <v>60</v>
      </c>
      <c r="H14" s="6">
        <v>0.502</v>
      </c>
      <c r="I14" s="6"/>
      <c r="J14" s="6">
        <v>21.2</v>
      </c>
      <c r="K14" s="6">
        <v>28.7</v>
      </c>
      <c r="L14" s="27">
        <f t="shared" si="0"/>
        <v>7.5</v>
      </c>
      <c r="M14" s="70">
        <v>10</v>
      </c>
      <c r="N14" s="70">
        <f t="shared" si="1"/>
        <v>1</v>
      </c>
      <c r="O14" s="70">
        <v>3.0000000000000001E-3</v>
      </c>
      <c r="P14" s="6">
        <v>1.33</v>
      </c>
      <c r="Q14" s="6">
        <v>100</v>
      </c>
      <c r="R14" s="51">
        <v>5.5596581917923942</v>
      </c>
      <c r="S14" s="51">
        <f t="shared" si="2"/>
        <v>1.0588695263628241</v>
      </c>
      <c r="T14" s="72">
        <f t="shared" si="3"/>
        <v>2.1040285907309104</v>
      </c>
      <c r="U14" s="31" t="s">
        <v>161</v>
      </c>
    </row>
    <row r="15" spans="2:21" ht="15.75">
      <c r="B15" s="111"/>
      <c r="C15" s="113"/>
      <c r="D15" s="113"/>
      <c r="E15" s="113"/>
      <c r="F15" s="6">
        <v>4</v>
      </c>
      <c r="G15" s="29" t="s">
        <v>61</v>
      </c>
      <c r="H15" s="6">
        <v>0.501</v>
      </c>
      <c r="I15" s="6"/>
      <c r="J15" s="6">
        <v>28.7</v>
      </c>
      <c r="K15" s="6">
        <v>34.200000000000003</v>
      </c>
      <c r="L15" s="27">
        <f t="shared" si="0"/>
        <v>5.5000000000000036</v>
      </c>
      <c r="M15" s="70">
        <v>10</v>
      </c>
      <c r="N15" s="70">
        <f t="shared" si="1"/>
        <v>1</v>
      </c>
      <c r="O15" s="70">
        <v>3.0000000000000001E-3</v>
      </c>
      <c r="P15" s="6">
        <v>1.33</v>
      </c>
      <c r="Q15" s="6">
        <v>100</v>
      </c>
      <c r="R15" s="51">
        <v>5.7176072711900279</v>
      </c>
      <c r="S15" s="51">
        <f t="shared" si="2"/>
        <v>1.06064342562493</v>
      </c>
      <c r="T15" s="72">
        <f t="shared" si="3"/>
        <v>3.8011682050091027</v>
      </c>
      <c r="U15" s="31"/>
    </row>
    <row r="16" spans="2:21" ht="15.75">
      <c r="B16" s="111"/>
      <c r="C16" s="113"/>
      <c r="D16" s="113"/>
      <c r="E16" s="113"/>
      <c r="F16" s="6">
        <v>5</v>
      </c>
      <c r="G16" s="29" t="s">
        <v>62</v>
      </c>
      <c r="H16" s="6">
        <v>0.502</v>
      </c>
      <c r="I16" s="6"/>
      <c r="J16" s="6">
        <v>34.200000000000003</v>
      </c>
      <c r="K16" s="6">
        <v>40.6</v>
      </c>
      <c r="L16" s="27">
        <f t="shared" si="0"/>
        <v>6.3999999999999986</v>
      </c>
      <c r="M16" s="70">
        <v>10</v>
      </c>
      <c r="N16" s="70">
        <f t="shared" si="1"/>
        <v>1</v>
      </c>
      <c r="O16" s="70">
        <v>3.0000000000000001E-3</v>
      </c>
      <c r="P16" s="6">
        <v>1.33</v>
      </c>
      <c r="Q16" s="6">
        <v>100</v>
      </c>
      <c r="R16" s="51">
        <v>5.2039529015979733</v>
      </c>
      <c r="S16" s="51">
        <f t="shared" si="2"/>
        <v>1.0548963069757125</v>
      </c>
      <c r="T16" s="72">
        <f t="shared" si="3"/>
        <v>3.0184323811552076</v>
      </c>
      <c r="U16" s="31" t="s">
        <v>161</v>
      </c>
    </row>
    <row r="17" spans="2:21" ht="15.75">
      <c r="B17" s="111">
        <v>32</v>
      </c>
      <c r="C17" s="113" t="s">
        <v>188</v>
      </c>
      <c r="D17" s="113" t="s">
        <v>189</v>
      </c>
      <c r="E17" s="113" t="s">
        <v>190</v>
      </c>
      <c r="F17" s="6">
        <v>1</v>
      </c>
      <c r="G17" s="29" t="s">
        <v>63</v>
      </c>
      <c r="H17" s="6">
        <v>0.501</v>
      </c>
      <c r="I17" s="6"/>
      <c r="J17" s="6">
        <v>16.600000000000001</v>
      </c>
      <c r="K17" s="6">
        <v>24.7</v>
      </c>
      <c r="L17" s="27">
        <f t="shared" si="0"/>
        <v>8.0999999999999979</v>
      </c>
      <c r="M17" s="70">
        <v>10</v>
      </c>
      <c r="N17" s="70">
        <f t="shared" si="1"/>
        <v>1</v>
      </c>
      <c r="O17" s="70">
        <v>3.0000000000000001E-3</v>
      </c>
      <c r="P17" s="6">
        <v>1.33</v>
      </c>
      <c r="Q17" s="6">
        <v>100</v>
      </c>
      <c r="R17" s="51">
        <v>7.1558650241028294</v>
      </c>
      <c r="S17" s="51">
        <f t="shared" si="2"/>
        <v>1.0770739586938962</v>
      </c>
      <c r="T17" s="72">
        <f t="shared" si="3"/>
        <v>1.6297999362990891</v>
      </c>
      <c r="U17" s="31" t="s">
        <v>162</v>
      </c>
    </row>
    <row r="18" spans="2:21" ht="15.75">
      <c r="B18" s="111"/>
      <c r="C18" s="113"/>
      <c r="D18" s="113"/>
      <c r="E18" s="113"/>
      <c r="F18" s="6">
        <v>2</v>
      </c>
      <c r="G18" s="29" t="s">
        <v>53</v>
      </c>
      <c r="H18" s="6">
        <v>0.504</v>
      </c>
      <c r="I18" s="6"/>
      <c r="J18" s="6">
        <v>24.7</v>
      </c>
      <c r="K18" s="6">
        <v>33.6</v>
      </c>
      <c r="L18" s="27">
        <f t="shared" si="0"/>
        <v>8.9000000000000021</v>
      </c>
      <c r="M18" s="70">
        <v>10</v>
      </c>
      <c r="N18" s="70">
        <f t="shared" si="1"/>
        <v>1</v>
      </c>
      <c r="O18" s="70">
        <v>3.0000000000000001E-3</v>
      </c>
      <c r="P18" s="6">
        <v>1.33</v>
      </c>
      <c r="Q18" s="6">
        <v>100</v>
      </c>
      <c r="R18" s="51">
        <v>7.4296757569250609</v>
      </c>
      <c r="S18" s="51">
        <f t="shared" si="2"/>
        <v>1.0802598005103226</v>
      </c>
      <c r="T18" s="72">
        <f t="shared" si="3"/>
        <v>0.9407262429444041</v>
      </c>
      <c r="U18" s="31" t="s">
        <v>159</v>
      </c>
    </row>
    <row r="19" spans="2:21" ht="15.75">
      <c r="B19" s="111"/>
      <c r="C19" s="113"/>
      <c r="D19" s="113"/>
      <c r="E19" s="113"/>
      <c r="F19" s="25">
        <v>3</v>
      </c>
      <c r="G19" s="66" t="s">
        <v>64</v>
      </c>
      <c r="H19" s="25">
        <v>0.50900000000000001</v>
      </c>
      <c r="I19" s="25"/>
      <c r="J19" s="25"/>
      <c r="K19" s="25"/>
      <c r="L19" s="39">
        <v>10.6</v>
      </c>
      <c r="M19" s="139">
        <v>13.25</v>
      </c>
      <c r="N19" s="139">
        <v>0.755</v>
      </c>
      <c r="O19" s="139">
        <v>3.0000000000000001E-3</v>
      </c>
      <c r="P19" s="25">
        <v>1.33</v>
      </c>
      <c r="Q19" s="25">
        <v>100</v>
      </c>
      <c r="R19" s="140">
        <v>7.4</v>
      </c>
      <c r="S19" s="140">
        <v>1.08</v>
      </c>
      <c r="T19" s="72">
        <v>1.69</v>
      </c>
      <c r="U19" s="31" t="s">
        <v>162</v>
      </c>
    </row>
    <row r="20" spans="2:21" ht="31.5">
      <c r="B20" s="111"/>
      <c r="C20" s="113"/>
      <c r="D20" s="113"/>
      <c r="E20" s="113"/>
      <c r="F20" s="6">
        <v>4</v>
      </c>
      <c r="G20" s="30" t="s">
        <v>66</v>
      </c>
      <c r="H20" s="6">
        <v>0.503</v>
      </c>
      <c r="I20" s="6"/>
      <c r="J20" s="6">
        <v>44.5</v>
      </c>
      <c r="K20" s="6">
        <v>48.2</v>
      </c>
      <c r="L20" s="27">
        <f t="shared" si="0"/>
        <v>3.7000000000000028</v>
      </c>
      <c r="M20" s="70">
        <v>10</v>
      </c>
      <c r="N20" s="70">
        <f t="shared" si="1"/>
        <v>1</v>
      </c>
      <c r="O20" s="70">
        <v>3.0000000000000001E-3</v>
      </c>
      <c r="P20" s="6">
        <v>1.33</v>
      </c>
      <c r="Q20" s="6">
        <v>100</v>
      </c>
      <c r="R20" s="51">
        <v>9.1673032849503411</v>
      </c>
      <c r="S20" s="51">
        <f t="shared" si="2"/>
        <v>1.1009251471825061</v>
      </c>
      <c r="T20" s="72">
        <f t="shared" si="3"/>
        <v>5.501780402530148</v>
      </c>
      <c r="U20" s="31" t="s">
        <v>158</v>
      </c>
    </row>
    <row r="21" spans="2:21" ht="47.25">
      <c r="B21" s="111"/>
      <c r="C21" s="113"/>
      <c r="D21" s="113"/>
      <c r="E21" s="113"/>
      <c r="F21" s="6">
        <v>5</v>
      </c>
      <c r="G21" s="30" t="s">
        <v>68</v>
      </c>
      <c r="H21" s="6">
        <v>0.503</v>
      </c>
      <c r="I21" s="6"/>
      <c r="J21" s="6">
        <v>0.3</v>
      </c>
      <c r="K21" s="6">
        <v>6.7</v>
      </c>
      <c r="L21" s="27">
        <f t="shared" si="0"/>
        <v>6.4</v>
      </c>
      <c r="M21" s="70">
        <v>10</v>
      </c>
      <c r="N21" s="70">
        <f t="shared" si="1"/>
        <v>1</v>
      </c>
      <c r="O21" s="70">
        <v>3.0000000000000001E-3</v>
      </c>
      <c r="P21" s="6">
        <v>1.33</v>
      </c>
      <c r="Q21" s="6">
        <v>100</v>
      </c>
      <c r="R21" s="51">
        <v>8.4797224029494682</v>
      </c>
      <c r="S21" s="51">
        <f t="shared" si="2"/>
        <v>1.0926540284360189</v>
      </c>
      <c r="T21" s="72">
        <f t="shared" si="3"/>
        <v>3.1202549631123206</v>
      </c>
      <c r="U21" s="31" t="s">
        <v>160</v>
      </c>
    </row>
    <row r="22" spans="2:21" ht="15.75">
      <c r="B22" s="111">
        <v>36</v>
      </c>
      <c r="C22" s="113" t="s">
        <v>186</v>
      </c>
      <c r="D22" s="113" t="s">
        <v>191</v>
      </c>
      <c r="E22" s="113" t="s">
        <v>192</v>
      </c>
      <c r="F22" s="6">
        <v>1</v>
      </c>
      <c r="G22" s="29" t="s">
        <v>69</v>
      </c>
      <c r="H22" s="6">
        <v>0.501</v>
      </c>
      <c r="I22" s="6"/>
      <c r="J22" s="6">
        <v>22.6</v>
      </c>
      <c r="K22" s="6">
        <v>31.3</v>
      </c>
      <c r="L22" s="27">
        <f t="shared" si="0"/>
        <v>8.6999999999999993</v>
      </c>
      <c r="M22" s="70">
        <v>10</v>
      </c>
      <c r="N22" s="70">
        <f t="shared" si="1"/>
        <v>1</v>
      </c>
      <c r="O22" s="70">
        <v>3.0000000000000001E-3</v>
      </c>
      <c r="P22" s="6">
        <v>1.33</v>
      </c>
      <c r="Q22" s="6">
        <v>100</v>
      </c>
      <c r="R22" s="51">
        <v>6.7228684238608558</v>
      </c>
      <c r="S22" s="51">
        <f t="shared" si="2"/>
        <v>1.0720741333943486</v>
      </c>
      <c r="T22" s="72">
        <f t="shared" si="3"/>
        <v>1.1099498063705566</v>
      </c>
      <c r="U22" s="31" t="s">
        <v>162</v>
      </c>
    </row>
    <row r="23" spans="2:21" ht="15.75">
      <c r="B23" s="111"/>
      <c r="C23" s="113"/>
      <c r="D23" s="113"/>
      <c r="E23" s="113"/>
      <c r="F23" s="6">
        <v>2</v>
      </c>
      <c r="G23" s="29" t="s">
        <v>53</v>
      </c>
      <c r="H23" s="6">
        <v>0.502</v>
      </c>
      <c r="I23" s="6"/>
      <c r="J23" s="6">
        <v>31.3</v>
      </c>
      <c r="K23" s="6">
        <v>38.299999999999997</v>
      </c>
      <c r="L23" s="27">
        <f t="shared" si="0"/>
        <v>6.9999999999999964</v>
      </c>
      <c r="M23" s="70">
        <v>10</v>
      </c>
      <c r="N23" s="70">
        <f t="shared" si="1"/>
        <v>1</v>
      </c>
      <c r="O23" s="70">
        <v>3.0000000000000001E-3</v>
      </c>
      <c r="P23" s="6">
        <v>1.33</v>
      </c>
      <c r="Q23" s="6">
        <v>100</v>
      </c>
      <c r="R23" s="51">
        <v>8.3992630324049031</v>
      </c>
      <c r="S23" s="51">
        <f t="shared" si="2"/>
        <v>1.0916942735447233</v>
      </c>
      <c r="T23" s="72">
        <f t="shared" si="3"/>
        <v>2.603103676161425</v>
      </c>
      <c r="U23" s="31"/>
    </row>
    <row r="24" spans="2:21" ht="15.75">
      <c r="B24" s="111"/>
      <c r="C24" s="113"/>
      <c r="D24" s="113"/>
      <c r="E24" s="113"/>
      <c r="F24" s="6">
        <v>3</v>
      </c>
      <c r="G24" s="29" t="s">
        <v>63</v>
      </c>
      <c r="H24" s="6">
        <v>0.50600000000000001</v>
      </c>
      <c r="I24" s="6"/>
      <c r="J24" s="6">
        <v>38.299999999999997</v>
      </c>
      <c r="K24" s="6">
        <v>46.7</v>
      </c>
      <c r="L24" s="27">
        <f t="shared" si="0"/>
        <v>8.4000000000000057</v>
      </c>
      <c r="M24" s="70">
        <v>10</v>
      </c>
      <c r="N24" s="70">
        <f t="shared" si="1"/>
        <v>1</v>
      </c>
      <c r="O24" s="70">
        <v>3.0000000000000001E-3</v>
      </c>
      <c r="P24" s="6">
        <v>1.33</v>
      </c>
      <c r="Q24" s="6">
        <v>100</v>
      </c>
      <c r="R24" s="51">
        <v>6.2891745458408641</v>
      </c>
      <c r="S24" s="51">
        <f t="shared" si="2"/>
        <v>1.0671125722707178</v>
      </c>
      <c r="T24" s="72">
        <f t="shared" si="3"/>
        <v>1.3463333322877942</v>
      </c>
      <c r="U24" s="31" t="s">
        <v>162</v>
      </c>
    </row>
    <row r="25" spans="2:21" ht="15.75">
      <c r="B25" s="111"/>
      <c r="C25" s="113"/>
      <c r="D25" s="113"/>
      <c r="E25" s="113"/>
      <c r="F25" s="6">
        <v>4</v>
      </c>
      <c r="G25" s="29" t="s">
        <v>70</v>
      </c>
      <c r="H25" s="6">
        <v>0.50600000000000001</v>
      </c>
      <c r="I25" s="6"/>
      <c r="J25" s="6">
        <v>0.3</v>
      </c>
      <c r="K25" s="6">
        <v>9.4</v>
      </c>
      <c r="L25" s="27">
        <f t="shared" si="0"/>
        <v>9.1</v>
      </c>
      <c r="M25" s="70">
        <v>10</v>
      </c>
      <c r="N25" s="70">
        <f t="shared" si="1"/>
        <v>1</v>
      </c>
      <c r="O25" s="70">
        <v>3.0000000000000001E-3</v>
      </c>
      <c r="P25" s="6">
        <v>1.33</v>
      </c>
      <c r="Q25" s="6">
        <v>100</v>
      </c>
      <c r="R25" s="51">
        <v>6.3217169570760801</v>
      </c>
      <c r="S25" s="51">
        <f t="shared" si="2"/>
        <v>1.0674832709538393</v>
      </c>
      <c r="T25" s="72">
        <f t="shared" si="3"/>
        <v>0.75757557825992861</v>
      </c>
      <c r="U25" s="31" t="s">
        <v>159</v>
      </c>
    </row>
    <row r="26" spans="2:21" ht="31.5">
      <c r="B26" s="111"/>
      <c r="C26" s="113"/>
      <c r="D26" s="113"/>
      <c r="E26" s="113"/>
      <c r="F26" s="6">
        <v>5</v>
      </c>
      <c r="G26" s="30" t="s">
        <v>71</v>
      </c>
      <c r="H26" s="6">
        <v>0.5</v>
      </c>
      <c r="I26" s="6"/>
      <c r="J26" s="6">
        <v>9.4</v>
      </c>
      <c r="K26" s="6">
        <v>16.600000000000001</v>
      </c>
      <c r="L26" s="27">
        <f t="shared" si="0"/>
        <v>7.2000000000000011</v>
      </c>
      <c r="M26" s="70">
        <v>10</v>
      </c>
      <c r="N26" s="70">
        <f t="shared" si="1"/>
        <v>1</v>
      </c>
      <c r="O26" s="70">
        <v>3.0000000000000001E-3</v>
      </c>
      <c r="P26" s="6">
        <v>1.33</v>
      </c>
      <c r="Q26" s="6">
        <v>100</v>
      </c>
      <c r="R26" s="51">
        <v>6.065104442795028</v>
      </c>
      <c r="S26" s="51">
        <f t="shared" si="2"/>
        <v>1.0645671068969409</v>
      </c>
      <c r="T26" s="72">
        <f t="shared" si="3"/>
        <v>2.3786687436505241</v>
      </c>
      <c r="U26" s="31" t="s">
        <v>161</v>
      </c>
    </row>
    <row r="27" spans="2:21" ht="15.75">
      <c r="B27" s="111">
        <v>37</v>
      </c>
      <c r="C27" s="113" t="s">
        <v>193</v>
      </c>
      <c r="D27" s="113" t="s">
        <v>194</v>
      </c>
      <c r="E27" s="113" t="s">
        <v>192</v>
      </c>
      <c r="F27" s="6">
        <v>1</v>
      </c>
      <c r="G27" s="29" t="s">
        <v>53</v>
      </c>
      <c r="H27" s="6">
        <v>0.50600000000000001</v>
      </c>
      <c r="I27" s="6"/>
      <c r="J27" s="25">
        <v>15.5</v>
      </c>
      <c r="K27" s="25">
        <v>23.2</v>
      </c>
      <c r="L27" s="27">
        <f t="shared" si="0"/>
        <v>7.6999999999999993</v>
      </c>
      <c r="M27" s="70">
        <v>10</v>
      </c>
      <c r="N27" s="70">
        <f t="shared" si="1"/>
        <v>1</v>
      </c>
      <c r="O27" s="70">
        <v>3.0000000000000001E-3</v>
      </c>
      <c r="P27" s="6">
        <v>1.33</v>
      </c>
      <c r="Q27" s="6">
        <v>100</v>
      </c>
      <c r="R27" s="51">
        <v>6.9794784095767479</v>
      </c>
      <c r="S27" s="51">
        <f t="shared" si="2"/>
        <v>1.075031598299437</v>
      </c>
      <c r="T27" s="72">
        <f t="shared" si="3"/>
        <v>1.9497163987339796</v>
      </c>
      <c r="U27" s="31" t="s">
        <v>162</v>
      </c>
    </row>
    <row r="28" spans="2:21" ht="15.75">
      <c r="B28" s="111"/>
      <c r="C28" s="113"/>
      <c r="D28" s="113"/>
      <c r="E28" s="113"/>
      <c r="F28" s="6">
        <v>2</v>
      </c>
      <c r="G28" s="29" t="s">
        <v>63</v>
      </c>
      <c r="H28" s="6">
        <v>0.505</v>
      </c>
      <c r="I28" s="6"/>
      <c r="J28" s="25">
        <v>23.2</v>
      </c>
      <c r="K28" s="25">
        <v>32</v>
      </c>
      <c r="L28" s="27">
        <f t="shared" si="0"/>
        <v>8.8000000000000007</v>
      </c>
      <c r="M28" s="70">
        <v>10</v>
      </c>
      <c r="N28" s="70">
        <f t="shared" si="1"/>
        <v>1</v>
      </c>
      <c r="O28" s="70">
        <v>3.0000000000000001E-3</v>
      </c>
      <c r="P28" s="6">
        <v>1.33</v>
      </c>
      <c r="Q28" s="6">
        <v>100</v>
      </c>
      <c r="R28" s="51">
        <v>8.7519025875190231</v>
      </c>
      <c r="S28" s="51">
        <f t="shared" si="2"/>
        <v>1.0959132610508757</v>
      </c>
      <c r="T28" s="72">
        <f t="shared" si="3"/>
        <v>1.0390559789923941</v>
      </c>
      <c r="U28" s="31" t="s">
        <v>162</v>
      </c>
    </row>
    <row r="29" spans="2:21" ht="15.75">
      <c r="B29" s="111"/>
      <c r="C29" s="113"/>
      <c r="D29" s="113"/>
      <c r="E29" s="113"/>
      <c r="F29" s="6">
        <v>3</v>
      </c>
      <c r="G29" s="29" t="s">
        <v>55</v>
      </c>
      <c r="H29" s="6">
        <v>0.505</v>
      </c>
      <c r="I29" s="6"/>
      <c r="J29" s="25">
        <v>32</v>
      </c>
      <c r="K29" s="25">
        <v>39.5</v>
      </c>
      <c r="L29" s="27">
        <f t="shared" si="0"/>
        <v>7.5</v>
      </c>
      <c r="M29" s="70">
        <v>10</v>
      </c>
      <c r="N29" s="70">
        <f t="shared" si="1"/>
        <v>1</v>
      </c>
      <c r="O29" s="70">
        <v>3.0000000000000001E-3</v>
      </c>
      <c r="P29" s="6">
        <v>1.33</v>
      </c>
      <c r="Q29" s="6">
        <v>100</v>
      </c>
      <c r="R29" s="51">
        <v>7.223234380023591</v>
      </c>
      <c r="S29" s="51">
        <f t="shared" si="2"/>
        <v>1.0778560702321822</v>
      </c>
      <c r="T29" s="72">
        <f t="shared" si="3"/>
        <v>2.1290325347655479</v>
      </c>
      <c r="U29" s="31" t="s">
        <v>161</v>
      </c>
    </row>
    <row r="30" spans="2:21" ht="15.75">
      <c r="B30" s="111"/>
      <c r="C30" s="113"/>
      <c r="D30" s="113"/>
      <c r="E30" s="113"/>
      <c r="F30" s="6">
        <v>4</v>
      </c>
      <c r="G30" s="29" t="s">
        <v>73</v>
      </c>
      <c r="H30" s="6">
        <v>0.5</v>
      </c>
      <c r="I30" s="6"/>
      <c r="J30" s="25">
        <v>11</v>
      </c>
      <c r="K30" s="25">
        <v>17.399999999999999</v>
      </c>
      <c r="L30" s="27">
        <f t="shared" si="0"/>
        <v>6.3999999999999986</v>
      </c>
      <c r="M30" s="70">
        <v>10</v>
      </c>
      <c r="N30" s="70">
        <f t="shared" si="1"/>
        <v>1</v>
      </c>
      <c r="O30" s="70">
        <v>3.0000000000000001E-3</v>
      </c>
      <c r="P30" s="6">
        <v>1.33</v>
      </c>
      <c r="Q30" s="6">
        <v>100</v>
      </c>
      <c r="R30" s="51">
        <v>7.064112169538693</v>
      </c>
      <c r="S30" s="51">
        <f t="shared" si="2"/>
        <v>1.0760105954163308</v>
      </c>
      <c r="T30" s="72">
        <f t="shared" si="3"/>
        <v>3.0911632385120367</v>
      </c>
      <c r="U30" s="31" t="s">
        <v>160</v>
      </c>
    </row>
    <row r="31" spans="2:21" ht="15.75">
      <c r="B31" s="111"/>
      <c r="C31" s="113"/>
      <c r="D31" s="113"/>
      <c r="E31" s="113"/>
      <c r="F31" s="6">
        <v>5</v>
      </c>
      <c r="G31" s="29" t="s">
        <v>64</v>
      </c>
      <c r="H31" s="6">
        <v>0.505</v>
      </c>
      <c r="I31" s="6"/>
      <c r="J31" s="25">
        <v>17.399999999999999</v>
      </c>
      <c r="K31" s="25">
        <v>25.4</v>
      </c>
      <c r="L31" s="27">
        <f t="shared" si="0"/>
        <v>8</v>
      </c>
      <c r="M31" s="70">
        <v>10</v>
      </c>
      <c r="N31" s="70">
        <f t="shared" si="1"/>
        <v>1</v>
      </c>
      <c r="O31" s="70">
        <v>3.0000000000000001E-3</v>
      </c>
      <c r="P31" s="6">
        <v>1.33</v>
      </c>
      <c r="Q31" s="6">
        <v>100</v>
      </c>
      <c r="R31" s="51">
        <v>5.9496082998094169</v>
      </c>
      <c r="S31" s="51">
        <f t="shared" si="2"/>
        <v>1.063259792886087</v>
      </c>
      <c r="T31" s="72">
        <f t="shared" si="3"/>
        <v>1.6801610192536582</v>
      </c>
      <c r="U31" s="31" t="s">
        <v>162</v>
      </c>
    </row>
    <row r="32" spans="2:21" ht="15.75">
      <c r="B32" s="111">
        <v>38</v>
      </c>
      <c r="C32" s="113" t="s">
        <v>193</v>
      </c>
      <c r="D32" s="113" t="s">
        <v>194</v>
      </c>
      <c r="E32" s="113" t="s">
        <v>192</v>
      </c>
      <c r="F32" s="6">
        <v>1</v>
      </c>
      <c r="G32" s="29" t="s">
        <v>75</v>
      </c>
      <c r="H32" s="6">
        <v>0.5</v>
      </c>
      <c r="I32" s="6"/>
      <c r="J32" s="6">
        <v>23.5</v>
      </c>
      <c r="K32" s="6">
        <v>29.2</v>
      </c>
      <c r="L32" s="27">
        <f t="shared" si="0"/>
        <v>5.6999999999999993</v>
      </c>
      <c r="M32" s="70">
        <v>10</v>
      </c>
      <c r="N32" s="70">
        <f t="shared" si="1"/>
        <v>1</v>
      </c>
      <c r="O32" s="70">
        <v>3.0000000000000001E-3</v>
      </c>
      <c r="P32" s="6">
        <v>1.33</v>
      </c>
      <c r="Q32" s="6">
        <v>100</v>
      </c>
      <c r="R32" s="51">
        <v>7.9870480302212652</v>
      </c>
      <c r="S32" s="51">
        <f t="shared" si="2"/>
        <v>1.0868035190615835</v>
      </c>
      <c r="T32" s="72">
        <f t="shared" si="3"/>
        <v>3.7292575953079181</v>
      </c>
      <c r="U32" s="31" t="s">
        <v>160</v>
      </c>
    </row>
    <row r="33" spans="2:21" ht="15.75">
      <c r="B33" s="111"/>
      <c r="C33" s="113"/>
      <c r="D33" s="113"/>
      <c r="E33" s="113"/>
      <c r="F33" s="6">
        <v>2</v>
      </c>
      <c r="G33" s="29" t="s">
        <v>76</v>
      </c>
      <c r="H33" s="6">
        <v>0.5</v>
      </c>
      <c r="I33" s="6"/>
      <c r="J33" s="6">
        <v>29.2</v>
      </c>
      <c r="K33" s="6">
        <v>37.5</v>
      </c>
      <c r="L33" s="27">
        <f t="shared" si="0"/>
        <v>8.3000000000000007</v>
      </c>
      <c r="M33" s="70">
        <v>10</v>
      </c>
      <c r="N33" s="70">
        <f t="shared" si="1"/>
        <v>1</v>
      </c>
      <c r="O33" s="70">
        <v>3.0000000000000001E-3</v>
      </c>
      <c r="P33" s="6">
        <v>1.33</v>
      </c>
      <c r="Q33" s="6">
        <v>100</v>
      </c>
      <c r="R33" s="51">
        <v>5.7592729578357815</v>
      </c>
      <c r="S33" s="51">
        <f t="shared" si="2"/>
        <v>1.0611123570307244</v>
      </c>
      <c r="T33" s="72">
        <f t="shared" si="3"/>
        <v>1.4395050235478799</v>
      </c>
      <c r="U33" s="31" t="s">
        <v>162</v>
      </c>
    </row>
    <row r="34" spans="2:21" ht="15.75">
      <c r="B34" s="111"/>
      <c r="C34" s="113"/>
      <c r="D34" s="113"/>
      <c r="E34" s="113"/>
      <c r="F34" s="6">
        <v>3</v>
      </c>
      <c r="G34" s="29" t="s">
        <v>63</v>
      </c>
      <c r="H34" s="6">
        <v>0.505</v>
      </c>
      <c r="I34" s="6"/>
      <c r="J34" s="6">
        <v>37.5</v>
      </c>
      <c r="K34" s="6">
        <v>45.5</v>
      </c>
      <c r="L34" s="27">
        <f t="shared" si="0"/>
        <v>8</v>
      </c>
      <c r="M34" s="70">
        <v>10</v>
      </c>
      <c r="N34" s="70">
        <f t="shared" si="1"/>
        <v>1</v>
      </c>
      <c r="O34" s="70">
        <v>3.0000000000000001E-3</v>
      </c>
      <c r="P34" s="6">
        <v>1.33</v>
      </c>
      <c r="Q34" s="6">
        <v>100</v>
      </c>
      <c r="R34" s="51">
        <v>5.6153683766096689</v>
      </c>
      <c r="S34" s="51">
        <f t="shared" si="2"/>
        <v>1.0594945202415567</v>
      </c>
      <c r="T34" s="72">
        <f t="shared" si="3"/>
        <v>1.674211142876757</v>
      </c>
      <c r="U34" s="31" t="s">
        <v>162</v>
      </c>
    </row>
    <row r="35" spans="2:21" ht="15.75">
      <c r="B35" s="111"/>
      <c r="C35" s="113"/>
      <c r="D35" s="113"/>
      <c r="E35" s="113"/>
      <c r="F35" s="6">
        <v>4</v>
      </c>
      <c r="G35" s="29" t="s">
        <v>64</v>
      </c>
      <c r="H35" s="6">
        <v>0.504</v>
      </c>
      <c r="I35" s="6"/>
      <c r="J35" s="6">
        <v>0.1</v>
      </c>
      <c r="K35" s="6">
        <v>7.9</v>
      </c>
      <c r="L35" s="27">
        <f t="shared" si="0"/>
        <v>7.8000000000000007</v>
      </c>
      <c r="M35" s="70">
        <v>10</v>
      </c>
      <c r="N35" s="70">
        <f t="shared" si="1"/>
        <v>1</v>
      </c>
      <c r="O35" s="70">
        <v>3.0000000000000001E-3</v>
      </c>
      <c r="P35" s="6">
        <v>1.33</v>
      </c>
      <c r="Q35" s="6">
        <v>100</v>
      </c>
      <c r="R35" s="51">
        <v>6.1220159151193823</v>
      </c>
      <c r="S35" s="51">
        <f t="shared" si="2"/>
        <v>1.0652124773960219</v>
      </c>
      <c r="T35" s="72">
        <f t="shared" si="3"/>
        <v>1.8552450647980712</v>
      </c>
      <c r="U35" s="31" t="s">
        <v>162</v>
      </c>
    </row>
    <row r="36" spans="2:21" ht="31.5">
      <c r="B36" s="111"/>
      <c r="C36" s="113"/>
      <c r="D36" s="113"/>
      <c r="E36" s="113"/>
      <c r="F36" s="6">
        <v>5</v>
      </c>
      <c r="G36" s="30" t="s">
        <v>77</v>
      </c>
      <c r="H36" s="6">
        <v>0.503</v>
      </c>
      <c r="I36" s="6"/>
      <c r="J36" s="6">
        <v>7.9</v>
      </c>
      <c r="K36" s="6">
        <v>15.5</v>
      </c>
      <c r="L36" s="27">
        <f t="shared" si="0"/>
        <v>7.6</v>
      </c>
      <c r="M36" s="70">
        <v>10</v>
      </c>
      <c r="N36" s="70">
        <f t="shared" si="1"/>
        <v>1</v>
      </c>
      <c r="O36" s="70">
        <v>3.0000000000000001E-3</v>
      </c>
      <c r="P36" s="6">
        <v>1.33</v>
      </c>
      <c r="Q36" s="6">
        <v>100</v>
      </c>
      <c r="R36" s="51">
        <v>5.8636748518204937</v>
      </c>
      <c r="S36" s="51">
        <f t="shared" si="2"/>
        <v>1.0622891837193613</v>
      </c>
      <c r="T36" s="72">
        <f t="shared" si="3"/>
        <v>2.0223620722259659</v>
      </c>
      <c r="U36" s="31" t="s">
        <v>161</v>
      </c>
    </row>
    <row r="37" spans="2:21" ht="15.75">
      <c r="B37" s="111">
        <v>41</v>
      </c>
      <c r="C37" s="113" t="s">
        <v>186</v>
      </c>
      <c r="D37" s="113" t="s">
        <v>194</v>
      </c>
      <c r="E37" s="113" t="s">
        <v>192</v>
      </c>
      <c r="F37" s="6">
        <v>1</v>
      </c>
      <c r="G37" s="29" t="s">
        <v>78</v>
      </c>
      <c r="H37" s="6">
        <v>0.503</v>
      </c>
      <c r="I37" s="6"/>
      <c r="J37" s="6">
        <v>30.6</v>
      </c>
      <c r="K37" s="6">
        <v>38.9</v>
      </c>
      <c r="L37" s="27">
        <f t="shared" si="0"/>
        <v>8.2999999999999972</v>
      </c>
      <c r="M37" s="70">
        <v>10</v>
      </c>
      <c r="N37" s="70">
        <f t="shared" si="1"/>
        <v>1</v>
      </c>
      <c r="O37" s="70">
        <v>3.0000000000000001E-3</v>
      </c>
      <c r="P37" s="6">
        <v>1.33</v>
      </c>
      <c r="Q37" s="6">
        <v>100</v>
      </c>
      <c r="R37" s="51">
        <v>6.2905111040272077</v>
      </c>
      <c r="S37" s="51">
        <f t="shared" si="2"/>
        <v>1.0671277922666969</v>
      </c>
      <c r="T37" s="72">
        <f t="shared" si="3"/>
        <v>1.4390313747405603</v>
      </c>
      <c r="U37" s="31" t="s">
        <v>162</v>
      </c>
    </row>
    <row r="38" spans="2:21" ht="15.75">
      <c r="B38" s="111"/>
      <c r="C38" s="113"/>
      <c r="D38" s="113"/>
      <c r="E38" s="113"/>
      <c r="F38" s="6">
        <v>2</v>
      </c>
      <c r="G38" s="29" t="s">
        <v>53</v>
      </c>
      <c r="H38" s="6">
        <v>0.503</v>
      </c>
      <c r="I38" s="6"/>
      <c r="J38" s="6">
        <v>38.9</v>
      </c>
      <c r="K38" s="6">
        <v>47</v>
      </c>
      <c r="L38" s="27">
        <f t="shared" si="0"/>
        <v>8.1000000000000014</v>
      </c>
      <c r="M38" s="70">
        <v>10</v>
      </c>
      <c r="N38" s="70">
        <f t="shared" si="1"/>
        <v>1</v>
      </c>
      <c r="O38" s="70">
        <v>3.0000000000000001E-3</v>
      </c>
      <c r="P38" s="6">
        <v>1.33</v>
      </c>
      <c r="Q38" s="6">
        <v>100</v>
      </c>
      <c r="R38" s="51">
        <v>6.6268911144257192</v>
      </c>
      <c r="S38" s="51">
        <f t="shared" si="2"/>
        <v>1.0709721588315835</v>
      </c>
      <c r="T38" s="72">
        <f t="shared" si="3"/>
        <v>1.6141232477340413</v>
      </c>
      <c r="U38" s="31" t="s">
        <v>162</v>
      </c>
    </row>
    <row r="39" spans="2:21" ht="15.75">
      <c r="B39" s="111"/>
      <c r="C39" s="113"/>
      <c r="D39" s="113"/>
      <c r="E39" s="113"/>
      <c r="F39" s="6">
        <v>3</v>
      </c>
      <c r="G39" s="29" t="s">
        <v>79</v>
      </c>
      <c r="H39" s="6">
        <v>0.5</v>
      </c>
      <c r="I39" s="6"/>
      <c r="J39" s="6">
        <v>0.2</v>
      </c>
      <c r="K39" s="6">
        <v>8.1999999999999993</v>
      </c>
      <c r="L39" s="27">
        <f t="shared" si="0"/>
        <v>7.9999999999999991</v>
      </c>
      <c r="M39" s="70">
        <v>10</v>
      </c>
      <c r="N39" s="70">
        <f t="shared" si="1"/>
        <v>1</v>
      </c>
      <c r="O39" s="70">
        <v>3.0000000000000001E-3</v>
      </c>
      <c r="P39" s="6">
        <v>1.33</v>
      </c>
      <c r="Q39" s="6">
        <v>100</v>
      </c>
      <c r="R39" s="51">
        <v>7.2945719802617424</v>
      </c>
      <c r="S39" s="51">
        <f t="shared" si="2"/>
        <v>1.07868548947003</v>
      </c>
      <c r="T39" s="72">
        <f t="shared" si="3"/>
        <v>1.7215820411941689</v>
      </c>
      <c r="U39" s="31" t="s">
        <v>162</v>
      </c>
    </row>
    <row r="40" spans="2:21" ht="15.75">
      <c r="B40" s="111"/>
      <c r="C40" s="113"/>
      <c r="D40" s="113"/>
      <c r="E40" s="113"/>
      <c r="F40" s="6">
        <v>4</v>
      </c>
      <c r="G40" s="29" t="s">
        <v>80</v>
      </c>
      <c r="H40" s="6">
        <v>0.502</v>
      </c>
      <c r="I40" s="6"/>
      <c r="J40" s="6">
        <v>8.1999999999999993</v>
      </c>
      <c r="K40" s="6">
        <v>16.399999999999999</v>
      </c>
      <c r="L40" s="27">
        <f t="shared" si="0"/>
        <v>8.1999999999999993</v>
      </c>
      <c r="M40" s="70">
        <v>10</v>
      </c>
      <c r="N40" s="70">
        <f t="shared" si="1"/>
        <v>1</v>
      </c>
      <c r="O40" s="70">
        <v>3.0000000000000001E-3</v>
      </c>
      <c r="P40" s="6">
        <v>1.33</v>
      </c>
      <c r="Q40" s="6">
        <v>100</v>
      </c>
      <c r="R40" s="51">
        <v>6.2101910828025773</v>
      </c>
      <c r="S40" s="51">
        <f t="shared" si="2"/>
        <v>1.0662139219015283</v>
      </c>
      <c r="T40" s="72">
        <f t="shared" si="3"/>
        <v>1.5254080452384025</v>
      </c>
      <c r="U40" s="31" t="s">
        <v>162</v>
      </c>
    </row>
    <row r="41" spans="2:21" ht="15.75">
      <c r="B41" s="111"/>
      <c r="C41" s="113"/>
      <c r="D41" s="113"/>
      <c r="E41" s="113"/>
      <c r="F41" s="6">
        <v>5</v>
      </c>
      <c r="G41" s="29" t="s">
        <v>81</v>
      </c>
      <c r="H41" s="6">
        <v>0.5</v>
      </c>
      <c r="I41" s="6"/>
      <c r="J41" s="6">
        <v>16.399999999999999</v>
      </c>
      <c r="K41" s="6">
        <v>23.5</v>
      </c>
      <c r="L41" s="27">
        <f t="shared" si="0"/>
        <v>7.1000000000000014</v>
      </c>
      <c r="M41" s="70">
        <v>10</v>
      </c>
      <c r="N41" s="70">
        <f t="shared" si="1"/>
        <v>1</v>
      </c>
      <c r="O41" s="70">
        <v>3.0000000000000001E-3</v>
      </c>
      <c r="P41" s="6">
        <v>1.33</v>
      </c>
      <c r="Q41" s="6">
        <v>100</v>
      </c>
      <c r="R41" s="51">
        <v>7.4157544537454472</v>
      </c>
      <c r="S41" s="51">
        <f t="shared" si="2"/>
        <v>1.0800973687260926</v>
      </c>
      <c r="T41" s="72">
        <f t="shared" si="3"/>
        <v>2.4995613307059221</v>
      </c>
      <c r="U41" s="31" t="s">
        <v>161</v>
      </c>
    </row>
  </sheetData>
  <mergeCells count="48">
    <mergeCell ref="B3:U3"/>
    <mergeCell ref="B6:E6"/>
    <mergeCell ref="B32:B36"/>
    <mergeCell ref="C32:C36"/>
    <mergeCell ref="D32:D36"/>
    <mergeCell ref="B37:B41"/>
    <mergeCell ref="C37:C41"/>
    <mergeCell ref="D37:D41"/>
    <mergeCell ref="B22:B26"/>
    <mergeCell ref="C22:C26"/>
    <mergeCell ref="D22:D26"/>
    <mergeCell ref="B27:B31"/>
    <mergeCell ref="C27:C31"/>
    <mergeCell ref="D27:D31"/>
    <mergeCell ref="B12:B16"/>
    <mergeCell ref="C12:C16"/>
    <mergeCell ref="D12:D16"/>
    <mergeCell ref="B17:B21"/>
    <mergeCell ref="C17:C21"/>
    <mergeCell ref="D17:D21"/>
    <mergeCell ref="U4:U5"/>
    <mergeCell ref="B7:B11"/>
    <mergeCell ref="C7:C11"/>
    <mergeCell ref="D7:D11"/>
    <mergeCell ref="B4:B5"/>
    <mergeCell ref="C4:C5"/>
    <mergeCell ref="D4:D5"/>
    <mergeCell ref="E37:E41"/>
    <mergeCell ref="P4:P5"/>
    <mergeCell ref="Q4:Q5"/>
    <mergeCell ref="R4:R5"/>
    <mergeCell ref="S4:S5"/>
    <mergeCell ref="E12:E16"/>
    <mergeCell ref="E17:E21"/>
    <mergeCell ref="E22:E26"/>
    <mergeCell ref="E27:E31"/>
    <mergeCell ref="E32:E36"/>
    <mergeCell ref="T4:T5"/>
    <mergeCell ref="E7:E11"/>
    <mergeCell ref="E4:E5"/>
    <mergeCell ref="F4:F5"/>
    <mergeCell ref="G4:G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Alat Portabel</vt:lpstr>
      <vt:lpstr>Kadar Air Portabel</vt:lpstr>
      <vt:lpstr>pH</vt:lpstr>
      <vt:lpstr>N</vt:lpstr>
      <vt:lpstr>P</vt:lpstr>
      <vt:lpstr>K</vt:lpstr>
      <vt:lpstr>Tekstur</vt:lpstr>
      <vt:lpstr>C-organik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 15IAX9</dc:creator>
  <cp:lastModifiedBy>Sulaeman Sardin</cp:lastModifiedBy>
  <dcterms:created xsi:type="dcterms:W3CDTF">2026-07-07T13:32:35Z</dcterms:created>
  <dcterms:modified xsi:type="dcterms:W3CDTF">2026-09-29T15:23:08Z</dcterms:modified>
</cp:coreProperties>
</file>